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bh5255/Box Sync/DEPENd/NeuroMAP/Recruitment/Participant Management/Test Files/"/>
    </mc:Choice>
  </mc:AlternateContent>
  <xr:revisionPtr revIDLastSave="0" documentId="13_ncr:1_{D65E98F0-0E9E-1748-9716-17DB16A9CF26}" xr6:coauthVersionLast="43" xr6:coauthVersionMax="43" xr10:uidLastSave="{00000000-0000-0000-0000-000000000000}"/>
  <bookViews>
    <workbookView xWindow="6780" yWindow="460" windowWidth="22020" windowHeight="16500" xr2:uid="{66A089F2-A77E-4E4A-AE9B-EEB9E8228D7E}"/>
  </bookViews>
  <sheets>
    <sheet name="MasterData" sheetId="1" r:id="rId1"/>
    <sheet name="Elegibility Helper" sheetId="16" r:id="rId2"/>
    <sheet name="Master ID" sheetId="15" r:id="rId3"/>
    <sheet name="Queue" sheetId="17" r:id="rId4"/>
    <sheet name="Baseline Screening" sheetId="10" r:id="rId5"/>
    <sheet name="Ineligible" sheetId="4" r:id="rId6"/>
    <sheet name="Scheduled" sheetId="12" r:id="rId7"/>
    <sheet name="Follow-Up" sheetId="19" r:id="rId8"/>
    <sheet name="SONA" sheetId="13" r:id="rId9"/>
    <sheet name="Template" sheetId="11" r:id="rId10"/>
  </sheets>
  <definedNames>
    <definedName name="_xlnm._FilterDatabase" localSheetId="0" hidden="1">MasterData!$A$1:$AM$36</definedName>
    <definedName name="NAME">MasterData!$A$1</definedName>
  </definedNames>
  <calcPr calcId="191029"/>
  <pivotCaches>
    <pivotCache cacheId="54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2" i="1"/>
  <c r="A35" i="1" l="1"/>
  <c r="A36" i="1"/>
  <c r="A29" i="1"/>
  <c r="A30" i="1"/>
  <c r="A31" i="1"/>
  <c r="A32" i="1"/>
  <c r="A33" i="1"/>
  <c r="A34" i="1"/>
  <c r="A28" i="1"/>
  <c r="N28" i="1"/>
  <c r="N29" i="1"/>
  <c r="N30" i="1"/>
  <c r="N31" i="1"/>
  <c r="N32" i="1"/>
  <c r="N33" i="1"/>
  <c r="N34" i="1"/>
  <c r="G5" i="1" l="1" a="1"/>
  <c r="G5" i="1" s="1"/>
  <c r="G28" i="1" a="1"/>
  <c r="G28" i="1" s="1"/>
  <c r="B12" i="16" l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N10" i="1"/>
  <c r="N3" i="1" l="1"/>
  <c r="N4" i="1"/>
  <c r="N5" i="1"/>
  <c r="N6" i="1"/>
  <c r="N7" i="1"/>
  <c r="N8" i="1"/>
  <c r="N9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A27" i="1"/>
  <c r="A2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<sst xmlns="http://schemas.openxmlformats.org/spreadsheetml/2006/main" count="738" uniqueCount="158">
  <si>
    <t>NAME</t>
  </si>
  <si>
    <t>PHONE</t>
  </si>
  <si>
    <t>EMAIL</t>
  </si>
  <si>
    <t>SOURCE</t>
  </si>
  <si>
    <t>STATUS</t>
  </si>
  <si>
    <t>GROUP</t>
  </si>
  <si>
    <t>PAI</t>
  </si>
  <si>
    <t>AI</t>
  </si>
  <si>
    <t>SPIN</t>
  </si>
  <si>
    <t>RA</t>
  </si>
  <si>
    <t>NOTES</t>
  </si>
  <si>
    <t>CONTACT</t>
  </si>
  <si>
    <t>ELIGIBILITY KEY:</t>
  </si>
  <si>
    <t>Flyer</t>
  </si>
  <si>
    <t>Yes</t>
  </si>
  <si>
    <t>BPD</t>
  </si>
  <si>
    <t>&gt;= 38</t>
  </si>
  <si>
    <t>&gt;= 12</t>
  </si>
  <si>
    <t>-</t>
  </si>
  <si>
    <t xml:space="preserve">Breanna Hockenberry </t>
  </si>
  <si>
    <t xml:space="preserve">bfh5164@psu.edu </t>
  </si>
  <si>
    <t>Facebook/Contact Form</t>
  </si>
  <si>
    <t>Screen sent</t>
  </si>
  <si>
    <t>SAD</t>
  </si>
  <si>
    <t>&gt;= 7</t>
  </si>
  <si>
    <t>Erin Stone</t>
  </si>
  <si>
    <t>Stone.e.morgan@gmail.com</t>
  </si>
  <si>
    <t>HC</t>
  </si>
  <si>
    <t>&lt;= 12</t>
  </si>
  <si>
    <t>&lt;= 3</t>
  </si>
  <si>
    <t>Carolyn Stoughton</t>
  </si>
  <si>
    <t>cbs5493@psu.edu</t>
  </si>
  <si>
    <t>StudyFinder</t>
  </si>
  <si>
    <t>Megan Baughman</t>
  </si>
  <si>
    <t>mbaughman54@gmail.com</t>
  </si>
  <si>
    <t>Julien Denby</t>
  </si>
  <si>
    <t>jjd287@cornell.edu</t>
  </si>
  <si>
    <t>Emily Lebo</t>
  </si>
  <si>
    <t>elebo97@yahoo.com</t>
  </si>
  <si>
    <t>Casper Smith</t>
  </si>
  <si>
    <t>Ols1147@gmail.com</t>
  </si>
  <si>
    <t>Amy Zankowski</t>
  </si>
  <si>
    <t>zankoam@verizon.net</t>
  </si>
  <si>
    <t>Completed screen</t>
  </si>
  <si>
    <t>BBH</t>
  </si>
  <si>
    <t>Erin Seilhamer</t>
  </si>
  <si>
    <t>717-562-2610</t>
  </si>
  <si>
    <t>ems6051@psu.edu</t>
  </si>
  <si>
    <t>No</t>
  </si>
  <si>
    <t>Ineligible</t>
  </si>
  <si>
    <t>Hannah Strouse</t>
  </si>
  <si>
    <t>814-777-8451</t>
  </si>
  <si>
    <t>Hannah.e.strouse@gmail.com</t>
  </si>
  <si>
    <t>Brooke Fosaaen</t>
  </si>
  <si>
    <t>brooke.fosaaen@psu.edu</t>
  </si>
  <si>
    <t>Adam Rothstein</t>
  </si>
  <si>
    <t>Rothsad13@juniata.edu</t>
  </si>
  <si>
    <t>Ryan Dwyer</t>
  </si>
  <si>
    <t>ryandaileydwyer@gmail.coM</t>
  </si>
  <si>
    <t>Laura Ranieri</t>
  </si>
  <si>
    <t>lxr5226@psu.edu</t>
  </si>
  <si>
    <t>Sarah Wylie</t>
  </si>
  <si>
    <t>wylie.sarahe@gmail.com</t>
  </si>
  <si>
    <t>Celine Latona</t>
  </si>
  <si>
    <t>860-264-7438</t>
  </si>
  <si>
    <t>cel5364@psu.edu</t>
  </si>
  <si>
    <t>Mention that they contacted us back in June</t>
  </si>
  <si>
    <t>Kiara Smith</t>
  </si>
  <si>
    <t>kxs782@psu.edu</t>
  </si>
  <si>
    <t>Mentioned interest in PANDAA</t>
  </si>
  <si>
    <t>Sarah Stanford</t>
  </si>
  <si>
    <t>sgstanfo@buffalo.edu&gt;</t>
  </si>
  <si>
    <t>Craigslist</t>
  </si>
  <si>
    <t>Ethan Kollat</t>
  </si>
  <si>
    <t>Ethanbkol2@gmail.com</t>
  </si>
  <si>
    <t>Austin Peiffer</t>
  </si>
  <si>
    <t>Austinpeiffer10818@gmail.com</t>
  </si>
  <si>
    <t>Stephen Lee</t>
  </si>
  <si>
    <t>267-684-9809</t>
  </si>
  <si>
    <t>sleepsu7947@gmail.com</t>
  </si>
  <si>
    <t>Laura Wickham</t>
  </si>
  <si>
    <t>lmw58@psu.edu</t>
  </si>
  <si>
    <t>(blank)</t>
  </si>
  <si>
    <t>(All)</t>
  </si>
  <si>
    <t>NOTE_PRESENTYN</t>
  </si>
  <si>
    <t>Y</t>
  </si>
  <si>
    <t>N</t>
  </si>
  <si>
    <t>Christina Leickel</t>
  </si>
  <si>
    <t>cdl5209@psu.edu</t>
  </si>
  <si>
    <t>Inquiry</t>
  </si>
  <si>
    <t>Did not take precreen</t>
  </si>
  <si>
    <t xml:space="preserve">ID </t>
  </si>
  <si>
    <t>SCREEN: SENT DATE (M)</t>
  </si>
  <si>
    <t>SCREEN: COMPLETE DATE (M)</t>
  </si>
  <si>
    <t>Invited S1</t>
  </si>
  <si>
    <t>ELIGIBLE YN (M)</t>
  </si>
  <si>
    <t>INELEGIBILITY CODE (M)</t>
  </si>
  <si>
    <t>PHASE DEEMED INELIGIBLE (M)</t>
  </si>
  <si>
    <t>AI (M)</t>
  </si>
  <si>
    <t>SH (M)</t>
  </si>
  <si>
    <t>SPIN (M)</t>
  </si>
  <si>
    <t>PAI (M)</t>
  </si>
  <si>
    <t>SCREEN: COMPLETE Y/N (M)</t>
  </si>
  <si>
    <t>S1 DATE (M)</t>
  </si>
  <si>
    <t>S2 DATE (M)</t>
  </si>
  <si>
    <t>S3 DATE (M)</t>
  </si>
  <si>
    <t>S4 DATE (M)</t>
  </si>
  <si>
    <t>S5 DATE (M)</t>
  </si>
  <si>
    <t>Olivia Cohen</t>
  </si>
  <si>
    <t>odc12@psu.edu</t>
  </si>
  <si>
    <t>SCREENED</t>
  </si>
  <si>
    <t>FIRSTNAME</t>
  </si>
  <si>
    <t>LASTNAME</t>
  </si>
  <si>
    <t>Olivia</t>
  </si>
  <si>
    <t>Andrews</t>
  </si>
  <si>
    <t>oka6214@lockhaven.edu</t>
  </si>
  <si>
    <t>Brandon</t>
  </si>
  <si>
    <t>Peck</t>
  </si>
  <si>
    <t>createcomplexbills@gmail.com</t>
  </si>
  <si>
    <t>Olivia Andrews</t>
  </si>
  <si>
    <t>Brandon Peck</t>
  </si>
  <si>
    <t>INVITED TO S1 (M)</t>
  </si>
  <si>
    <t>Today's Date</t>
  </si>
  <si>
    <t>Anika</t>
  </si>
  <si>
    <t>Huynh</t>
  </si>
  <si>
    <t>anika.huynh@yahoo.com</t>
  </si>
  <si>
    <t>Kasey</t>
  </si>
  <si>
    <t>Engle</t>
  </si>
  <si>
    <t>Kte22@psu.edu</t>
  </si>
  <si>
    <t>Bryce</t>
  </si>
  <si>
    <t>Burgess</t>
  </si>
  <si>
    <t>bburgess22@icloud.com</t>
  </si>
  <si>
    <t>Taylor</t>
  </si>
  <si>
    <t>Berardi</t>
  </si>
  <si>
    <t>tberardi299@gmail.com</t>
  </si>
  <si>
    <t>Rebecca</t>
  </si>
  <si>
    <t>Stroschein</t>
  </si>
  <si>
    <t>Bstro111@gmail.com</t>
  </si>
  <si>
    <t>Jenna</t>
  </si>
  <si>
    <t>Wasarhelyi </t>
  </si>
  <si>
    <t>jenna597@hotmail.com</t>
  </si>
  <si>
    <t>Amber</t>
  </si>
  <si>
    <t>Herren </t>
  </si>
  <si>
    <t>Herren12370@yahoo.com</t>
  </si>
  <si>
    <t>Kasey Engle</t>
  </si>
  <si>
    <t>Bryce Burgess</t>
  </si>
  <si>
    <t>Taylor Berardi</t>
  </si>
  <si>
    <t>Rebecca Stroschein</t>
  </si>
  <si>
    <t>Anika Huynh</t>
  </si>
  <si>
    <t>Jenna Wasarhelyi </t>
  </si>
  <si>
    <t>Amber Herren </t>
  </si>
  <si>
    <t>Called, sent repeat email on 7/30/19</t>
  </si>
  <si>
    <t>CONSENT</t>
  </si>
  <si>
    <t>GROUPED: SL (M)</t>
  </si>
  <si>
    <t>L</t>
  </si>
  <si>
    <t>FIRST CONTACT (M)</t>
  </si>
  <si>
    <t>S</t>
  </si>
  <si>
    <t>Person1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</si>
</sst>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\-###\-####"/>
    <numFmt numFmtId="165" formatCode="###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</font>
    <font>
      <sz val="12"/>
      <color rgb="FF222222"/>
      <name val="Calibri"/>
      <family val="2"/>
    </font>
    <font>
      <u/>
      <sz val="12"/>
      <color theme="10"/>
      <name val="Calibri"/>
      <family val="2"/>
    </font>
    <font>
      <sz val="12"/>
      <color rgb="FF555555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1"/>
    <xf numFmtId="14" fontId="0" fillId="0" borderId="0" xfId="0" applyNumberFormat="1"/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2" fillId="0" borderId="0" xfId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0" fillId="0" borderId="0" xfId="0" applyFill="1"/>
    <xf numFmtId="0" fontId="4" fillId="0" borderId="0" xfId="0" applyFont="1" applyFill="1"/>
    <xf numFmtId="0" fontId="2" fillId="0" borderId="0" xfId="1" applyFill="1"/>
    <xf numFmtId="14" fontId="0" fillId="0" borderId="0" xfId="0" applyNumberFormat="1" applyFill="1"/>
    <xf numFmtId="164" fontId="0" fillId="0" borderId="0" xfId="0" applyNumberFormat="1" applyFill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pivotButton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pivotButton="1" applyNumberFormat="1" applyAlignment="1">
      <alignment horizontal="left"/>
    </xf>
    <xf numFmtId="0" fontId="0" fillId="0" borderId="0" xfId="0" pivotButton="1" applyAlignment="1">
      <alignment wrapText="1"/>
    </xf>
    <xf numFmtId="14" fontId="0" fillId="0" borderId="0" xfId="0" applyNumberForma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1" fontId="4" fillId="0" borderId="0" xfId="0" applyNumberFormat="1" applyFont="1" applyFill="1"/>
    <xf numFmtId="1" fontId="0" fillId="0" borderId="0" xfId="0" applyNumberFormat="1"/>
    <xf numFmtId="0" fontId="3" fillId="2" borderId="0" xfId="0" applyFont="1" applyFill="1"/>
    <xf numFmtId="14" fontId="1" fillId="2" borderId="0" xfId="0" applyNumberFormat="1" applyFont="1" applyFill="1"/>
    <xf numFmtId="14" fontId="1" fillId="0" borderId="0" xfId="0" applyNumberFormat="1" applyFont="1" applyFill="1"/>
    <xf numFmtId="1" fontId="3" fillId="2" borderId="0" xfId="0" applyNumberFormat="1" applyFont="1" applyFill="1"/>
    <xf numFmtId="0" fontId="5" fillId="0" borderId="0" xfId="0" applyFont="1"/>
    <xf numFmtId="0" fontId="6" fillId="0" borderId="0" xfId="0" applyFont="1"/>
    <xf numFmtId="0" fontId="7" fillId="0" borderId="0" xfId="1" applyFont="1"/>
    <xf numFmtId="0" fontId="8" fillId="0" borderId="0" xfId="0" applyFont="1"/>
    <xf numFmtId="165" fontId="1" fillId="2" borderId="0" xfId="0" applyNumberFormat="1" applyFont="1" applyFill="1"/>
    <xf numFmtId="165" fontId="0" fillId="0" borderId="0" xfId="0" applyNumberFormat="1" applyFill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Hyperlink" xfId="1" builtinId="8"/>
    <cellStyle name="Normal" xfId="0" builtinId="0"/>
  </cellStyles>
  <dxfs count="60"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left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numFmt numFmtId="164" formatCode="###\-###\-####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numFmt numFmtId="164" formatCode="###\-###\-####"/>
    </dxf>
    <dxf>
      <alignment horizontal="left"/>
    </dxf>
    <dxf>
      <numFmt numFmtId="164" formatCode="###\-###\-####"/>
    </dxf>
    <dxf>
      <alignment horizontal="left"/>
    </dxf>
    <dxf>
      <alignment wrapText="1"/>
    </dxf>
    <dxf>
      <numFmt numFmtId="164" formatCode="###\-###\-####"/>
    </dxf>
    <dxf>
      <alignment horizontal="left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rbert-Ramirez, Begonia B" refreshedDate="43679.558911574073" createdVersion="6" refreshedVersion="6" minRefreshableVersion="3" recordCount="36" xr:uid="{D6E635F8-4FF0-794C-AA82-D55AF8660016}">
  <cacheSource type="worksheet">
    <worksheetSource ref="A1:AF1048576" sheet="MasterData"/>
  </cacheSource>
  <cacheFields count="32">
    <cacheField name="NAME" numFmtId="0">
      <sharedItems containsBlank="1" count="40">
        <s v="Christina Leickel"/>
        <s v="Amy Zankowski"/>
        <s v="Erin Seilhamer"/>
        <s v="Hannah Strouse"/>
        <s v="Brooke Fosaaen"/>
        <s v="Adam Rothstein"/>
        <s v="Laura Ranieri"/>
        <s v="Celine Latona"/>
        <s v="Sarah Stanford"/>
        <s v="Breanna Hockenberry "/>
        <s v="Erin Stone"/>
        <s v="Carolyn Stoughton"/>
        <s v="Megan Baughman"/>
        <s v="Julien Denby"/>
        <s v="Emily Lebo"/>
        <s v="Casper Smith"/>
        <s v="Ryan Dwyer"/>
        <s v="Sarah Wylie"/>
        <s v="Kiara Smith"/>
        <s v="Ethan Kollat"/>
        <s v="Austin Peiffer"/>
        <s v="Stephen Lee"/>
        <s v="Laura Wickham"/>
        <s v="Olivia Cohen"/>
        <s v="Olivia Andrews"/>
        <s v="Brandon Peck"/>
        <s v="Anika Huynh"/>
        <s v="Kasey Engle"/>
        <s v="Bryce Burgess"/>
        <s v="Taylor Berardi"/>
        <s v="Rebecca Stroschein"/>
        <s v="Jenna Wasarhelyi "/>
        <s v="Amber Herren "/>
        <s v=""/>
        <m/>
        <s v="Melanie" u="1"/>
        <s v="Phone" u="1"/>
        <s v="Name" u="1"/>
        <s v="ID" u="1"/>
        <s v="John Doe" u="1"/>
      </sharedItems>
    </cacheField>
    <cacheField name="FIRSTNAME" numFmtId="0">
      <sharedItems containsBlank="1"/>
    </cacheField>
    <cacheField name="LASTNAME" numFmtId="0">
      <sharedItems containsBlank="1"/>
    </cacheField>
    <cacheField name="EMAIL" numFmtId="0">
      <sharedItems containsBlank="1" count="34">
        <s v="cdl5209@psu.edu"/>
        <s v="zankoam@verizon.net"/>
        <s v="ems6051@psu.edu"/>
        <s v="Hannah.e.strouse@gmail.com"/>
        <s v="brooke.fosaaen@psu.edu"/>
        <s v="Rothsad13@juniata.edu"/>
        <s v="lxr5226@psu.edu"/>
        <s v="cel5364@psu.edu"/>
        <s v="sgstanfo@buffalo.edu&gt;"/>
        <s v="bfh5164@psu.edu "/>
        <s v="Stone.e.morgan@gmail.com"/>
        <s v="cbs5493@psu.edu"/>
        <s v="mbaughman54@gmail.com"/>
        <s v="jjd287@cornell.edu"/>
        <s v="elebo97@yahoo.com"/>
        <s v="Ols1147@gmail.com"/>
        <s v="ryandaileydwyer@gmail.coM"/>
        <s v="wylie.sarahe@gmail.com"/>
        <s v="kxs782@psu.edu"/>
        <s v="Ethanbkol2@gmail.com"/>
        <s v="Austinpeiffer10818@gmail.com"/>
        <s v="sleepsu7947@gmail.com"/>
        <s v="lmw58@psu.edu"/>
        <s v="odc12@psu.edu"/>
        <s v="oka6214@lockhaven.edu"/>
        <s v="createcomplexbills@gmail.com"/>
        <s v="anika.huynh@yahoo.com"/>
        <s v="Kte22@psu.edu"/>
        <s v="bburgess22@icloud.com"/>
        <s v="tberardi299@gmail.com"/>
        <s v="Bstro111@gmail.com"/>
        <s v="jenna597@hotmail.com"/>
        <s v="Herren12370@yahoo.com"/>
        <m/>
      </sharedItems>
    </cacheField>
    <cacheField name="PHONE" numFmtId="0">
      <sharedItems containsBlank="1" containsMixedTypes="1" containsNumber="1" containsInteger="1" minValue="3013106934" maxValue="8143860862" count="13">
        <s v="-"/>
        <n v="3013106934"/>
        <s v="717-562-2610"/>
        <s v="814-777-8451"/>
        <n v="5635470125"/>
        <n v="8143860862"/>
        <s v="860-264-7438"/>
        <n v="7166018408"/>
        <n v="8142373315"/>
        <n v="8143604025"/>
        <s v="267-684-9809"/>
        <n v="7328560626"/>
        <m/>
      </sharedItems>
    </cacheField>
    <cacheField name="ID " numFmtId="165">
      <sharedItems containsBlank="1" containsMixedTypes="1" containsNumber="1" containsInteger="1" minValue="1" maxValue="999" count="5">
        <s v="-"/>
        <n v="1"/>
        <n v="2"/>
        <m/>
        <n v="999" u="1"/>
      </sharedItems>
    </cacheField>
    <cacheField name="GROUP" numFmtId="0">
      <sharedItems containsBlank="1" count="5">
        <m/>
        <s v="SAD"/>
        <s v="BPD"/>
        <s v="HC"/>
        <s v="Ineligible"/>
      </sharedItems>
    </cacheField>
    <cacheField name="GROUPED: SL (M)" numFmtId="0">
      <sharedItems containsBlank="1"/>
    </cacheField>
    <cacheField name="SOURCE" numFmtId="0">
      <sharedItems containsBlank="1"/>
    </cacheField>
    <cacheField name="STATUS" numFmtId="0">
      <sharedItems containsBlank="1" count="8">
        <s v="Inquiry"/>
        <s v="Invited S1"/>
        <s v="Completed screen"/>
        <s v="Screen sent"/>
        <m/>
        <s v="Need not elegible email" u="1"/>
        <s v="Invited to S1" u="1"/>
        <s v="Screen not sent" u="1"/>
      </sharedItems>
    </cacheField>
    <cacheField name="FIRST CONTACT (M)" numFmtId="0">
      <sharedItems containsNonDate="0" containsString="0" containsBlank="1"/>
    </cacheField>
    <cacheField name="SCREEN: SENT DATE (M)" numFmtId="14">
      <sharedItems containsDate="1" containsBlank="1" containsMixedTypes="1" minDate="2019-07-24T00:00:00" maxDate="2019-07-31T00:00:00" count="6">
        <s v="-"/>
        <d v="2019-07-25T00:00:00"/>
        <d v="2019-07-24T00:00:00"/>
        <d v="2019-07-26T00:00:00"/>
        <d v="2019-07-30T00:00:00"/>
        <m/>
      </sharedItems>
    </cacheField>
    <cacheField name="SCREEN: COMPLETE DATE (M)" numFmtId="14">
      <sharedItems containsDate="1" containsBlank="1" containsMixedTypes="1" minDate="2019-07-24T00:00:00" maxDate="2019-07-31T00:00:00" count="8">
        <s v="-"/>
        <d v="2019-07-26T00:00:00"/>
        <d v="2019-07-24T00:00:00"/>
        <d v="2019-07-25T00:00:00"/>
        <m/>
        <d v="2019-07-29T00:00:00"/>
        <d v="2019-07-27T00:00:00"/>
        <d v="2019-07-30T00:00:00"/>
      </sharedItems>
    </cacheField>
    <cacheField name="SCREEN: COMPLETE Y/N (M)" numFmtId="14">
      <sharedItems containsBlank="1" count="3">
        <s v="N"/>
        <s v="Y"/>
        <m/>
      </sharedItems>
    </cacheField>
    <cacheField name="PAI (M)" numFmtId="0">
      <sharedItems containsString="0" containsBlank="1" containsNumber="1" containsInteger="1" minValue="7" maxValue="46" count="12">
        <m/>
        <n v="24"/>
        <n v="14"/>
        <n v="46"/>
        <n v="17"/>
        <n v="36"/>
        <n v="20"/>
        <n v="7"/>
        <n v="35"/>
        <n v="29"/>
        <n v="19"/>
        <n v="11"/>
      </sharedItems>
    </cacheField>
    <cacheField name="AI (M)" numFmtId="1">
      <sharedItems containsString="0" containsBlank="1" containsNumber="1" containsInteger="1" minValue="1" maxValue="12" count="9">
        <m/>
        <n v="8"/>
        <n v="5"/>
        <n v="6"/>
        <n v="2"/>
        <n v="7"/>
        <n v="4"/>
        <n v="1"/>
        <n v="12"/>
      </sharedItems>
    </cacheField>
    <cacheField name="SH (M)" numFmtId="1">
      <sharedItems containsString="0" containsBlank="1" containsNumber="1" containsInteger="1" minValue="0" maxValue="11" count="7">
        <m/>
        <n v="0"/>
        <n v="1"/>
        <n v="11"/>
        <n v="3"/>
        <n v="7"/>
        <n v="5"/>
      </sharedItems>
    </cacheField>
    <cacheField name="SPIN (M)" numFmtId="0">
      <sharedItems containsString="0" containsBlank="1" containsNumber="1" containsInteger="1" minValue="0" maxValue="10"/>
    </cacheField>
    <cacheField name="ELIGIBLE YN (M)" numFmtId="0">
      <sharedItems containsBlank="1" count="3">
        <s v="No"/>
        <s v="Yes"/>
        <m/>
      </sharedItems>
    </cacheField>
    <cacheField name="RA" numFmtId="0">
      <sharedItems containsBlank="1"/>
    </cacheField>
    <cacheField name="INELEGIBILITY CODE (M)" numFmtId="0">
      <sharedItems containsString="0" containsBlank="1" containsNumber="1" containsInteger="1" minValue="1" maxValue="8" count="3">
        <n v="8"/>
        <m/>
        <n v="1"/>
      </sharedItems>
    </cacheField>
    <cacheField name="PHASE DEEMED INELIGIBLE (M)" numFmtId="0">
      <sharedItems containsString="0" containsBlank="1" containsNumber="1" containsInteger="1" minValue="0" maxValue="0" count="2">
        <m/>
        <n v="0"/>
      </sharedItems>
    </cacheField>
    <cacheField name="S1 DATE (M)" numFmtId="0">
      <sharedItems containsNonDate="0" containsDate="1" containsString="0" containsBlank="1" minDate="2019-05-06T00:00:00" maxDate="2023-07-15T00:00:00" count="11">
        <m/>
        <d v="2019-05-06T00:00:00"/>
        <d v="2019-06-07T00:00:00"/>
        <d v="2019-08-07T00:00:00"/>
        <d v="2019-06-01T00:00:00"/>
        <d v="2019-07-06T00:00:00"/>
        <d v="2019-08-12T00:00:00"/>
        <d v="2019-08-11T00:00:00"/>
        <d v="2019-08-06T00:00:00"/>
        <d v="2019-07-31T00:00:00"/>
        <d v="2023-07-14T00:00:00" u="1"/>
      </sharedItems>
    </cacheField>
    <cacheField name="S2 DATE (M)" numFmtId="0">
      <sharedItems containsNonDate="0" containsString="0" containsBlank="1" count="1">
        <m/>
      </sharedItems>
    </cacheField>
    <cacheField name="S3 DATE (M)" numFmtId="0">
      <sharedItems containsNonDate="0" containsString="0" containsBlank="1" count="1">
        <m/>
      </sharedItems>
    </cacheField>
    <cacheField name="S4 DATE (M)" numFmtId="0">
      <sharedItems containsNonDate="0" containsString="0" containsBlank="1" count="1">
        <m/>
      </sharedItems>
    </cacheField>
    <cacheField name="S5 DATE (M)" numFmtId="0">
      <sharedItems containsNonDate="0" containsString="0" containsBlank="1"/>
    </cacheField>
    <cacheField name="INVITED TO S1 (M)" numFmtId="0">
      <sharedItems containsBlank="1" count="3">
        <s v="N"/>
        <s v="Y"/>
        <m/>
      </sharedItems>
    </cacheField>
    <cacheField name="NOTE_PRESENTYN" numFmtId="0">
      <sharedItems containsBlank="1" count="3">
        <s v="Y"/>
        <s v="N"/>
        <m/>
      </sharedItems>
    </cacheField>
    <cacheField name="CONSENT" numFmtId="0">
      <sharedItems containsString="0" containsBlank="1" containsNumber="1" containsInteger="1" minValue="0" maxValue="1"/>
    </cacheField>
    <cacheField name="NOTES" numFmtId="0">
      <sharedItems containsBlank="1" count="5">
        <s v="Did not take precreen"/>
        <m/>
        <s v="Mention that they contacted us back in June"/>
        <s v="Mentioned interest in PANDAA"/>
        <s v="turning 24 soon - schedule ASAP" u="1"/>
      </sharedItems>
    </cacheField>
    <cacheField name="CONTACT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m/>
    <m/>
    <x v="0"/>
    <x v="0"/>
    <x v="0"/>
    <x v="0"/>
    <m/>
    <s v="StudyFinder"/>
    <x v="0"/>
    <m/>
    <x v="0"/>
    <x v="0"/>
    <x v="0"/>
    <x v="0"/>
    <x v="0"/>
    <x v="0"/>
    <m/>
    <x v="0"/>
    <m/>
    <x v="0"/>
    <x v="0"/>
    <x v="0"/>
    <x v="0"/>
    <x v="0"/>
    <x v="0"/>
    <m/>
    <x v="0"/>
    <x v="0"/>
    <n v="0"/>
    <x v="0"/>
    <m/>
  </r>
  <r>
    <x v="1"/>
    <m/>
    <m/>
    <x v="1"/>
    <x v="1"/>
    <x v="0"/>
    <x v="1"/>
    <m/>
    <s v="Facebook/Contact Form"/>
    <x v="1"/>
    <m/>
    <x v="1"/>
    <x v="1"/>
    <x v="1"/>
    <x v="1"/>
    <x v="1"/>
    <x v="1"/>
    <n v="9"/>
    <x v="1"/>
    <s v="BBH"/>
    <x v="1"/>
    <x v="0"/>
    <x v="0"/>
    <x v="0"/>
    <x v="0"/>
    <x v="0"/>
    <m/>
    <x v="0"/>
    <x v="1"/>
    <n v="0"/>
    <x v="1"/>
    <m/>
  </r>
  <r>
    <x v="2"/>
    <m/>
    <m/>
    <x v="2"/>
    <x v="2"/>
    <x v="0"/>
    <x v="1"/>
    <s v="L"/>
    <s v="StudyFinder"/>
    <x v="2"/>
    <m/>
    <x v="2"/>
    <x v="2"/>
    <x v="1"/>
    <x v="2"/>
    <x v="2"/>
    <x v="2"/>
    <n v="3"/>
    <x v="0"/>
    <s v="BBH"/>
    <x v="2"/>
    <x v="1"/>
    <x v="1"/>
    <x v="0"/>
    <x v="0"/>
    <x v="0"/>
    <m/>
    <x v="1"/>
    <x v="1"/>
    <n v="1"/>
    <x v="1"/>
    <m/>
  </r>
  <r>
    <x v="3"/>
    <m/>
    <m/>
    <x v="3"/>
    <x v="3"/>
    <x v="1"/>
    <x v="1"/>
    <s v="L"/>
    <s v="Facebook/Contact Form"/>
    <x v="1"/>
    <m/>
    <x v="2"/>
    <x v="2"/>
    <x v="1"/>
    <x v="3"/>
    <x v="3"/>
    <x v="3"/>
    <n v="9"/>
    <x v="1"/>
    <s v="BBH"/>
    <x v="2"/>
    <x v="0"/>
    <x v="2"/>
    <x v="0"/>
    <x v="0"/>
    <x v="0"/>
    <m/>
    <x v="1"/>
    <x v="1"/>
    <n v="1"/>
    <x v="1"/>
    <m/>
  </r>
  <r>
    <x v="4"/>
    <m/>
    <m/>
    <x v="4"/>
    <x v="4"/>
    <x v="0"/>
    <x v="1"/>
    <s v="S"/>
    <s v="StudyFinder"/>
    <x v="2"/>
    <m/>
    <x v="2"/>
    <x v="2"/>
    <x v="1"/>
    <x v="4"/>
    <x v="4"/>
    <x v="4"/>
    <n v="6"/>
    <x v="0"/>
    <s v="BBH"/>
    <x v="2"/>
    <x v="1"/>
    <x v="3"/>
    <x v="0"/>
    <x v="0"/>
    <x v="0"/>
    <m/>
    <x v="1"/>
    <x v="1"/>
    <n v="0"/>
    <x v="1"/>
    <m/>
  </r>
  <r>
    <x v="5"/>
    <m/>
    <m/>
    <x v="5"/>
    <x v="5"/>
    <x v="0"/>
    <x v="2"/>
    <s v="L"/>
    <s v="Facebook/Contact Form"/>
    <x v="2"/>
    <m/>
    <x v="1"/>
    <x v="3"/>
    <x v="1"/>
    <x v="5"/>
    <x v="5"/>
    <x v="5"/>
    <n v="10"/>
    <x v="0"/>
    <s v="BBH"/>
    <x v="2"/>
    <x v="1"/>
    <x v="4"/>
    <x v="0"/>
    <x v="0"/>
    <x v="0"/>
    <m/>
    <x v="1"/>
    <x v="1"/>
    <n v="1"/>
    <x v="1"/>
    <m/>
  </r>
  <r>
    <x v="6"/>
    <m/>
    <m/>
    <x v="6"/>
    <x v="0"/>
    <x v="0"/>
    <x v="2"/>
    <s v="L"/>
    <s v="StudyFinder"/>
    <x v="2"/>
    <m/>
    <x v="1"/>
    <x v="3"/>
    <x v="1"/>
    <x v="2"/>
    <x v="6"/>
    <x v="4"/>
    <n v="3"/>
    <x v="0"/>
    <s v="BBH"/>
    <x v="2"/>
    <x v="1"/>
    <x v="5"/>
    <x v="0"/>
    <x v="0"/>
    <x v="0"/>
    <m/>
    <x v="1"/>
    <x v="1"/>
    <n v="1"/>
    <x v="1"/>
    <m/>
  </r>
  <r>
    <x v="7"/>
    <m/>
    <m/>
    <x v="7"/>
    <x v="6"/>
    <x v="0"/>
    <x v="3"/>
    <s v="L"/>
    <s v="StudyFinder"/>
    <x v="2"/>
    <m/>
    <x v="1"/>
    <x v="3"/>
    <x v="1"/>
    <x v="6"/>
    <x v="3"/>
    <x v="4"/>
    <n v="3"/>
    <x v="0"/>
    <s v="BBH"/>
    <x v="2"/>
    <x v="1"/>
    <x v="6"/>
    <x v="0"/>
    <x v="0"/>
    <x v="0"/>
    <m/>
    <x v="1"/>
    <x v="0"/>
    <n v="0"/>
    <x v="2"/>
    <m/>
  </r>
  <r>
    <x v="8"/>
    <m/>
    <m/>
    <x v="8"/>
    <x v="7"/>
    <x v="0"/>
    <x v="3"/>
    <m/>
    <s v="Craigslist"/>
    <x v="1"/>
    <m/>
    <x v="1"/>
    <x v="3"/>
    <x v="1"/>
    <x v="7"/>
    <x v="7"/>
    <x v="1"/>
    <n v="1"/>
    <x v="1"/>
    <s v="BBH"/>
    <x v="1"/>
    <x v="0"/>
    <x v="0"/>
    <x v="0"/>
    <x v="0"/>
    <x v="0"/>
    <m/>
    <x v="0"/>
    <x v="1"/>
    <n v="0"/>
    <x v="1"/>
    <m/>
  </r>
  <r>
    <x v="9"/>
    <m/>
    <m/>
    <x v="9"/>
    <x v="0"/>
    <x v="0"/>
    <x v="0"/>
    <m/>
    <s v="Facebook/Contact Form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0"/>
    <m/>
    <m/>
    <x v="10"/>
    <x v="0"/>
    <x v="0"/>
    <x v="0"/>
    <m/>
    <s v="Facebook/Contact Form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1"/>
    <m/>
    <m/>
    <x v="11"/>
    <x v="0"/>
    <x v="0"/>
    <x v="0"/>
    <m/>
    <s v="StudyFinder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2"/>
    <m/>
    <m/>
    <x v="12"/>
    <x v="0"/>
    <x v="0"/>
    <x v="0"/>
    <m/>
    <s v="StudyFinder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3"/>
    <m/>
    <m/>
    <x v="13"/>
    <x v="0"/>
    <x v="0"/>
    <x v="0"/>
    <m/>
    <s v="StudyFinder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4"/>
    <m/>
    <m/>
    <x v="14"/>
    <x v="0"/>
    <x v="0"/>
    <x v="0"/>
    <m/>
    <s v="StudyFinder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5"/>
    <m/>
    <m/>
    <x v="15"/>
    <x v="0"/>
    <x v="0"/>
    <x v="0"/>
    <m/>
    <s v="Facebook/Contact Form"/>
    <x v="3"/>
    <m/>
    <x v="2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16"/>
    <m/>
    <m/>
    <x v="16"/>
    <x v="0"/>
    <x v="0"/>
    <x v="0"/>
    <m/>
    <s v="Facebook/Contact Form"/>
    <x v="3"/>
    <m/>
    <x v="1"/>
    <x v="4"/>
    <x v="0"/>
    <x v="0"/>
    <x v="0"/>
    <x v="0"/>
    <m/>
    <x v="2"/>
    <m/>
    <x v="2"/>
    <x v="0"/>
    <x v="0"/>
    <x v="0"/>
    <x v="0"/>
    <x v="0"/>
    <m/>
    <x v="0"/>
    <x v="1"/>
    <n v="0"/>
    <x v="1"/>
    <m/>
  </r>
  <r>
    <x v="17"/>
    <m/>
    <m/>
    <x v="17"/>
    <x v="8"/>
    <x v="0"/>
    <x v="3"/>
    <s v="S"/>
    <s v="StudyFinder"/>
    <x v="2"/>
    <m/>
    <x v="1"/>
    <x v="5"/>
    <x v="1"/>
    <x v="8"/>
    <x v="8"/>
    <x v="6"/>
    <n v="1"/>
    <x v="0"/>
    <s v="BBH"/>
    <x v="2"/>
    <x v="1"/>
    <x v="7"/>
    <x v="0"/>
    <x v="0"/>
    <x v="0"/>
    <m/>
    <x v="1"/>
    <x v="1"/>
    <n v="0"/>
    <x v="1"/>
    <m/>
  </r>
  <r>
    <x v="18"/>
    <m/>
    <m/>
    <x v="18"/>
    <x v="0"/>
    <x v="0"/>
    <x v="0"/>
    <m/>
    <m/>
    <x v="3"/>
    <m/>
    <x v="1"/>
    <x v="4"/>
    <x v="0"/>
    <x v="0"/>
    <x v="0"/>
    <x v="0"/>
    <m/>
    <x v="2"/>
    <m/>
    <x v="2"/>
    <x v="0"/>
    <x v="0"/>
    <x v="0"/>
    <x v="0"/>
    <x v="0"/>
    <m/>
    <x v="0"/>
    <x v="0"/>
    <n v="0"/>
    <x v="3"/>
    <m/>
  </r>
  <r>
    <x v="19"/>
    <m/>
    <m/>
    <x v="19"/>
    <x v="9"/>
    <x v="0"/>
    <x v="1"/>
    <m/>
    <s v="Flyer"/>
    <x v="3"/>
    <m/>
    <x v="3"/>
    <x v="4"/>
    <x v="0"/>
    <x v="0"/>
    <x v="0"/>
    <x v="0"/>
    <m/>
    <x v="2"/>
    <m/>
    <x v="1"/>
    <x v="0"/>
    <x v="0"/>
    <x v="0"/>
    <x v="0"/>
    <x v="0"/>
    <m/>
    <x v="0"/>
    <x v="1"/>
    <n v="0"/>
    <x v="1"/>
    <s v="Called, sent repeat email on 7/30/19"/>
  </r>
  <r>
    <x v="20"/>
    <m/>
    <m/>
    <x v="20"/>
    <x v="0"/>
    <x v="0"/>
    <x v="0"/>
    <m/>
    <s v="Facebook/Contact Form"/>
    <x v="3"/>
    <m/>
    <x v="3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21"/>
    <m/>
    <m/>
    <x v="21"/>
    <x v="10"/>
    <x v="0"/>
    <x v="0"/>
    <m/>
    <m/>
    <x v="3"/>
    <m/>
    <x v="3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22"/>
    <m/>
    <m/>
    <x v="22"/>
    <x v="11"/>
    <x v="2"/>
    <x v="1"/>
    <m/>
    <s v="StudyFinder"/>
    <x v="1"/>
    <m/>
    <x v="3"/>
    <x v="6"/>
    <x v="1"/>
    <x v="9"/>
    <x v="3"/>
    <x v="4"/>
    <n v="7"/>
    <x v="1"/>
    <s v="BBH"/>
    <x v="1"/>
    <x v="0"/>
    <x v="8"/>
    <x v="0"/>
    <x v="0"/>
    <x v="0"/>
    <m/>
    <x v="1"/>
    <x v="1"/>
    <n v="0"/>
    <x v="1"/>
    <m/>
  </r>
  <r>
    <x v="23"/>
    <m/>
    <m/>
    <x v="23"/>
    <x v="12"/>
    <x v="0"/>
    <x v="0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24"/>
    <s v="Olivia"/>
    <s v="Andrews"/>
    <x v="24"/>
    <x v="12"/>
    <x v="0"/>
    <x v="0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25"/>
    <s v="Brandon"/>
    <s v="Peck"/>
    <x v="25"/>
    <x v="12"/>
    <x v="0"/>
    <x v="0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0"/>
    <x v="1"/>
    <n v="0"/>
    <x v="1"/>
    <m/>
  </r>
  <r>
    <x v="26"/>
    <s v="Anika"/>
    <s v="Huynh"/>
    <x v="26"/>
    <x v="12"/>
    <x v="0"/>
    <x v="1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2"/>
    <x v="2"/>
    <n v="0"/>
    <x v="1"/>
    <m/>
  </r>
  <r>
    <x v="27"/>
    <s v="Kasey"/>
    <s v="Engle"/>
    <x v="27"/>
    <x v="12"/>
    <x v="0"/>
    <x v="4"/>
    <m/>
    <s v="Facebook/Contact Form"/>
    <x v="3"/>
    <m/>
    <x v="4"/>
    <x v="7"/>
    <x v="1"/>
    <x v="10"/>
    <x v="3"/>
    <x v="2"/>
    <n v="2"/>
    <x v="0"/>
    <s v="BBH"/>
    <x v="2"/>
    <x v="1"/>
    <x v="0"/>
    <x v="0"/>
    <x v="0"/>
    <x v="0"/>
    <m/>
    <x v="2"/>
    <x v="2"/>
    <n v="0"/>
    <x v="1"/>
    <m/>
  </r>
  <r>
    <x v="28"/>
    <s v="Bryce"/>
    <s v="Burgess"/>
    <x v="28"/>
    <x v="12"/>
    <x v="0"/>
    <x v="0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2"/>
    <x v="2"/>
    <n v="0"/>
    <x v="1"/>
    <m/>
  </r>
  <r>
    <x v="29"/>
    <s v="Taylor"/>
    <s v="Berardi"/>
    <x v="29"/>
    <x v="12"/>
    <x v="0"/>
    <x v="1"/>
    <s v="S"/>
    <s v="Facebook/Contact Form"/>
    <x v="2"/>
    <m/>
    <x v="4"/>
    <x v="7"/>
    <x v="1"/>
    <x v="6"/>
    <x v="6"/>
    <x v="0"/>
    <n v="0"/>
    <x v="0"/>
    <s v="BBH"/>
    <x v="2"/>
    <x v="1"/>
    <x v="9"/>
    <x v="0"/>
    <x v="0"/>
    <x v="0"/>
    <m/>
    <x v="2"/>
    <x v="2"/>
    <n v="1"/>
    <x v="1"/>
    <m/>
  </r>
  <r>
    <x v="30"/>
    <s v="Rebecca"/>
    <s v="Stroschein"/>
    <x v="30"/>
    <x v="12"/>
    <x v="0"/>
    <x v="3"/>
    <m/>
    <s v="Facebook/Contact Form"/>
    <x v="1"/>
    <m/>
    <x v="4"/>
    <x v="7"/>
    <x v="1"/>
    <x v="11"/>
    <x v="4"/>
    <x v="1"/>
    <n v="3"/>
    <x v="1"/>
    <s v="BBH"/>
    <x v="1"/>
    <x v="0"/>
    <x v="0"/>
    <x v="0"/>
    <x v="0"/>
    <x v="0"/>
    <m/>
    <x v="2"/>
    <x v="2"/>
    <n v="0"/>
    <x v="1"/>
    <m/>
  </r>
  <r>
    <x v="31"/>
    <s v="Jenna"/>
    <s v="Wasarhelyi "/>
    <x v="31"/>
    <x v="12"/>
    <x v="0"/>
    <x v="0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2"/>
    <x v="2"/>
    <n v="0"/>
    <x v="1"/>
    <m/>
  </r>
  <r>
    <x v="32"/>
    <s v="Amber"/>
    <s v="Herren "/>
    <x v="32"/>
    <x v="12"/>
    <x v="0"/>
    <x v="0"/>
    <m/>
    <s v="Facebook/Contact Form"/>
    <x v="3"/>
    <m/>
    <x v="4"/>
    <x v="4"/>
    <x v="0"/>
    <x v="0"/>
    <x v="0"/>
    <x v="0"/>
    <m/>
    <x v="2"/>
    <m/>
    <x v="1"/>
    <x v="0"/>
    <x v="0"/>
    <x v="0"/>
    <x v="0"/>
    <x v="0"/>
    <m/>
    <x v="2"/>
    <x v="2"/>
    <n v="0"/>
    <x v="1"/>
    <m/>
  </r>
  <r>
    <x v="33"/>
    <m/>
    <m/>
    <x v="33"/>
    <x v="12"/>
    <x v="3"/>
    <x v="0"/>
    <m/>
    <m/>
    <x v="4"/>
    <m/>
    <x v="5"/>
    <x v="4"/>
    <x v="2"/>
    <x v="0"/>
    <x v="0"/>
    <x v="0"/>
    <m/>
    <x v="2"/>
    <m/>
    <x v="1"/>
    <x v="0"/>
    <x v="0"/>
    <x v="0"/>
    <x v="0"/>
    <x v="0"/>
    <m/>
    <x v="2"/>
    <x v="2"/>
    <n v="0"/>
    <x v="1"/>
    <m/>
  </r>
  <r>
    <x v="33"/>
    <m/>
    <m/>
    <x v="33"/>
    <x v="12"/>
    <x v="3"/>
    <x v="0"/>
    <m/>
    <m/>
    <x v="4"/>
    <m/>
    <x v="5"/>
    <x v="4"/>
    <x v="2"/>
    <x v="0"/>
    <x v="0"/>
    <x v="0"/>
    <m/>
    <x v="2"/>
    <m/>
    <x v="1"/>
    <x v="0"/>
    <x v="0"/>
    <x v="0"/>
    <x v="0"/>
    <x v="0"/>
    <m/>
    <x v="2"/>
    <x v="2"/>
    <n v="0"/>
    <x v="1"/>
    <m/>
  </r>
  <r>
    <x v="34"/>
    <m/>
    <m/>
    <x v="33"/>
    <x v="12"/>
    <x v="3"/>
    <x v="0"/>
    <m/>
    <m/>
    <x v="4"/>
    <m/>
    <x v="5"/>
    <x v="4"/>
    <x v="2"/>
    <x v="0"/>
    <x v="0"/>
    <x v="0"/>
    <m/>
    <x v="2"/>
    <m/>
    <x v="1"/>
    <x v="0"/>
    <x v="0"/>
    <x v="0"/>
    <x v="0"/>
    <x v="0"/>
    <m/>
    <x v="2"/>
    <x v="2"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DEEE0E-2ABC-2249-BBD5-8C4A91D34E7A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J17" firstHeaderRow="1" firstDataRow="1" firstDataCol="10" rowPageCount="1" colPageCount="1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14"/>
        <item x="2"/>
        <item x="19"/>
        <item x="3"/>
        <item x="13"/>
        <item x="18"/>
        <item x="22"/>
        <item x="6"/>
        <item x="12"/>
        <item x="23"/>
        <item x="15"/>
        <item x="5"/>
        <item x="16"/>
        <item x="8"/>
        <item x="21"/>
        <item x="10"/>
        <item x="17"/>
        <item x="1"/>
        <item x="3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1"/>
        <item m="1" x="6"/>
        <item m="1" x="7"/>
        <item x="3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CREEN COMPLETED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SCREENED" axis="axisPage" compact="0" outline="0" subtotalTop="0" multipleItemSelectionAllowed="1" showAll="0" defaultSubtotal="0">
      <items count="3">
        <item x="1"/>
        <item h="1" x="2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x="7"/>
        <item x="2"/>
        <item x="4"/>
        <item x="6"/>
        <item x="1"/>
        <item x="5"/>
        <item x="3"/>
        <item x="0"/>
        <item x="9"/>
        <item x="8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">
        <item x="7"/>
        <item x="4"/>
        <item x="6"/>
        <item x="2"/>
        <item x="3"/>
        <item x="5"/>
        <item x="1"/>
        <item x="0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1"/>
        <item x="2"/>
        <item x="4"/>
        <item x="5"/>
        <item x="3"/>
        <item x="0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5"/>
    <field x="0"/>
    <field x="4"/>
    <field x="3"/>
    <field x="6"/>
    <field x="9"/>
    <field x="18"/>
    <field x="14"/>
    <field x="15"/>
    <field x="16"/>
  </rowFields>
  <rowItems count="13">
    <i>
      <x v="2"/>
      <x/>
      <x v="4"/>
      <x v="17"/>
      <x v="4"/>
      <x/>
      <x/>
      <x v="5"/>
      <x v="5"/>
      <x v="3"/>
    </i>
    <i r="1">
      <x v="1"/>
      <x/>
      <x v="23"/>
      <x v="2"/>
      <x v="2"/>
      <x v="1"/>
      <x v="4"/>
      <x v="6"/>
      <x/>
    </i>
    <i r="1">
      <x v="4"/>
      <x v="1"/>
      <x v="2"/>
      <x v="2"/>
      <x/>
      <x/>
      <x v="2"/>
      <x v="1"/>
      <x v="2"/>
    </i>
    <i r="1">
      <x v="7"/>
      <x v="8"/>
      <x v="5"/>
      <x/>
      <x/>
      <x/>
      <x v="3"/>
      <x v="4"/>
      <x v="2"/>
    </i>
    <i r="1">
      <x v="9"/>
      <x v="6"/>
      <x v="7"/>
      <x v="2"/>
      <x/>
      <x/>
      <x v="1"/>
      <x v="3"/>
      <x v="1"/>
    </i>
    <i r="1">
      <x v="15"/>
      <x v="10"/>
      <x v="13"/>
      <x v="4"/>
      <x/>
      <x/>
      <x v="1"/>
      <x v="2"/>
      <x v="2"/>
    </i>
    <i r="1">
      <x v="20"/>
      <x v="2"/>
      <x v="19"/>
      <x/>
      <x v="2"/>
      <x v="1"/>
      <x/>
      <x/>
      <x/>
    </i>
    <i r="1">
      <x v="21"/>
      <x v="11"/>
      <x v="22"/>
      <x/>
      <x/>
      <x/>
      <x v="9"/>
      <x v="8"/>
      <x v="6"/>
    </i>
    <i r="1">
      <x v="33"/>
      <x v="9"/>
      <x v="28"/>
      <x v="1"/>
      <x v="5"/>
      <x/>
      <x v="10"/>
      <x v="4"/>
      <x v="1"/>
    </i>
    <i r="1">
      <x v="35"/>
      <x v="9"/>
      <x v="30"/>
      <x v="2"/>
      <x/>
      <x/>
      <x v="3"/>
      <x v="2"/>
      <x v="5"/>
    </i>
    <i r="1">
      <x v="36"/>
      <x v="9"/>
      <x v="31"/>
      <x/>
      <x v="2"/>
      <x v="1"/>
      <x v="11"/>
      <x v="1"/>
      <x/>
    </i>
    <i>
      <x v="3"/>
      <x v="12"/>
      <x v="7"/>
      <x v="9"/>
      <x v="2"/>
      <x v="2"/>
      <x v="1"/>
      <x v="6"/>
      <x v="4"/>
      <x v="4"/>
    </i>
    <i>
      <x v="4"/>
      <x v="16"/>
      <x v="12"/>
      <x v="12"/>
      <x v="2"/>
      <x v="2"/>
      <x v="1"/>
      <x v="8"/>
      <x v="4"/>
      <x v="2"/>
    </i>
  </rowItems>
  <colItems count="1">
    <i/>
  </colItems>
  <pageFields count="1">
    <pageField fld="13" hier="-1"/>
  </pageFields>
  <formats count="3">
    <format dxfId="57">
      <pivotArea field="4" type="button" dataOnly="0" labelOnly="1" outline="0" axis="axisRow" fieldPosition="2"/>
    </format>
    <format dxfId="56">
      <pivotArea field="4" type="button" dataOnly="0" labelOnly="1" outline="0" axis="axisRow" fieldPosition="2"/>
    </format>
    <format dxfId="55">
      <pivotArea field="13" type="button" dataOnly="0" labelOnly="1" outline="0" axis="axisPage" fieldPosition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EF2C99-27AD-6F44-8AE2-1F7E5F07B7DF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I11" firstHeaderRow="1" firstDataRow="1" firstDataCol="9" rowPageCount="3" colPageCount="1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25"/>
        <item x="14"/>
        <item x="2"/>
        <item x="19"/>
        <item x="3"/>
        <item x="13"/>
        <item x="18"/>
        <item x="22"/>
        <item x="6"/>
        <item x="12"/>
        <item x="23"/>
        <item x="24"/>
        <item x="15"/>
        <item x="5"/>
        <item x="16"/>
        <item x="8"/>
        <item x="21"/>
        <item x="10"/>
        <item x="17"/>
        <item x="1"/>
        <item x="33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8">
        <item x="2"/>
        <item x="1"/>
        <item h="1" x="0"/>
        <item h="1" m="1" x="6"/>
        <item h="1" m="1" x="7"/>
        <item h="1" x="3"/>
        <item h="1" x="4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">
        <item x="0"/>
        <item m="1" x="10"/>
        <item x="2"/>
        <item x="3"/>
        <item x="8"/>
        <item x="1"/>
        <item x="4"/>
        <item x="5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x="0"/>
        <item h="1" x="2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0"/>
    <field x="3"/>
    <field x="4"/>
    <field x="9"/>
    <field x="6"/>
    <field x="22"/>
    <field x="23"/>
    <field x="24"/>
    <field x="25"/>
  </rowFields>
  <rowItems count="2">
    <i>
      <x v="1"/>
      <x v="25"/>
      <x/>
      <x v="1"/>
      <x v="2"/>
      <x/>
      <x/>
      <x/>
      <x/>
    </i>
    <i>
      <x v="20"/>
      <x v="21"/>
      <x v="2"/>
      <x v="1"/>
      <x/>
      <x/>
      <x/>
      <x/>
      <x/>
    </i>
  </rowItems>
  <colItems count="1">
    <i/>
  </colItems>
  <pageFields count="3">
    <pageField fld="13" hier="-1"/>
    <pageField fld="27" hier="-1"/>
    <pageField fld="18" hier="-1"/>
  </pageFields>
  <formats count="2">
    <format dxfId="54">
      <pivotArea field="4" type="button" dataOnly="0" labelOnly="1" outline="0" axis="axisRow" fieldPosition="2"/>
    </format>
    <format dxfId="53">
      <pivotArea field="4" type="button" dataOnly="0" labelOnly="1" outline="0" axis="axisRow" fieldPosition="2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7DF901-3D91-714C-AE7C-E7C7A9F46707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F24" firstHeaderRow="1" firstDataRow="1" firstDataCol="6" rowPageCount="2" colPageCount="1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14"/>
        <item x="2"/>
        <item x="19"/>
        <item x="3"/>
        <item x="13"/>
        <item x="18"/>
        <item x="22"/>
        <item x="6"/>
        <item x="12"/>
        <item x="15"/>
        <item x="5"/>
        <item x="16"/>
        <item x="8"/>
        <item x="21"/>
        <item x="10"/>
        <item x="17"/>
        <item x="1"/>
        <item x="33"/>
        <item x="23"/>
        <item x="24"/>
        <item x="25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8">
        <item h="1" x="2"/>
        <item h="1" m="1" x="6"/>
        <item x="3"/>
        <item h="1" x="4"/>
        <item x="0"/>
        <item h="1" x="1"/>
        <item m="1" x="7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0"/>
        <item x="2"/>
        <item x="1"/>
        <item x="3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0"/>
        <item x="2"/>
        <item x="3"/>
        <item x="1"/>
        <item x="4"/>
        <item x="6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1"/>
        <item h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0"/>
    <field x="3"/>
    <field x="4"/>
    <field x="9"/>
    <field x="11"/>
    <field x="12"/>
  </rowFields>
  <rowItems count="20">
    <i>
      <x v="2"/>
      <x/>
      <x v="10"/>
      <x v="2"/>
      <x v="3"/>
      <x v="4"/>
    </i>
    <i>
      <x v="3"/>
      <x v="1"/>
      <x v="10"/>
      <x v="2"/>
      <x v="1"/>
      <x v="4"/>
    </i>
    <i>
      <x v="5"/>
      <x v="3"/>
      <x v="10"/>
      <x v="2"/>
      <x v="1"/>
      <x v="4"/>
    </i>
    <i>
      <x v="6"/>
      <x v="15"/>
      <x v="10"/>
      <x v="2"/>
      <x v="1"/>
      <x v="4"/>
    </i>
    <i>
      <x v="8"/>
      <x v="6"/>
      <x v="10"/>
      <x v="2"/>
      <x v="1"/>
      <x v="4"/>
    </i>
    <i>
      <x v="10"/>
      <x v="20"/>
      <x v="10"/>
      <x v="2"/>
      <x v="1"/>
      <x v="4"/>
    </i>
    <i>
      <x v="11"/>
      <x v="8"/>
      <x v="3"/>
      <x v="2"/>
      <x v="3"/>
      <x v="4"/>
    </i>
    <i>
      <x v="13"/>
      <x v="10"/>
      <x v="10"/>
      <x v="2"/>
      <x v="1"/>
      <x v="4"/>
    </i>
    <i>
      <x v="14"/>
      <x v="11"/>
      <x v="10"/>
      <x v="2"/>
      <x v="2"/>
      <x v="4"/>
    </i>
    <i>
      <x v="17"/>
      <x v="14"/>
      <x v="10"/>
      <x v="2"/>
      <x v="1"/>
      <x v="4"/>
    </i>
    <i>
      <x v="19"/>
      <x v="17"/>
      <x v="10"/>
      <x v="2"/>
      <x v="2"/>
      <x v="4"/>
    </i>
    <i>
      <x v="22"/>
      <x v="19"/>
      <x v="5"/>
      <x v="2"/>
      <x v="3"/>
      <x v="4"/>
    </i>
    <i>
      <x v="27"/>
      <x v="4"/>
      <x v="10"/>
      <x v="4"/>
      <x/>
      <x/>
    </i>
    <i>
      <x v="28"/>
      <x v="24"/>
      <x v="9"/>
      <x v="2"/>
      <x v="5"/>
      <x v="4"/>
    </i>
    <i>
      <x v="31"/>
      <x v="25"/>
      <x v="9"/>
      <x v="2"/>
      <x v="5"/>
      <x v="4"/>
    </i>
    <i>
      <x v="32"/>
      <x v="26"/>
      <x v="9"/>
      <x v="2"/>
      <x v="5"/>
      <x v="4"/>
    </i>
    <i>
      <x v="34"/>
      <x v="29"/>
      <x v="9"/>
      <x v="2"/>
      <x v="5"/>
      <x v="4"/>
    </i>
    <i>
      <x v="37"/>
      <x v="27"/>
      <x v="9"/>
      <x v="2"/>
      <x v="5"/>
      <x v="4"/>
    </i>
    <i>
      <x v="38"/>
      <x v="32"/>
      <x v="9"/>
      <x v="2"/>
      <x v="5"/>
      <x v="4"/>
    </i>
    <i>
      <x v="39"/>
      <x v="33"/>
      <x v="9"/>
      <x v="2"/>
      <x v="5"/>
      <x v="4"/>
    </i>
  </rowItems>
  <colItems count="1">
    <i/>
  </colItems>
  <pageFields count="2">
    <pageField fld="13" hier="-1"/>
    <pageField fld="20" hier="-1"/>
  </pageFields>
  <formats count="43">
    <format dxfId="52">
      <pivotArea field="4" type="button" dataOnly="0" labelOnly="1" outline="0" axis="axisRow" fieldPosition="2"/>
    </format>
    <format dxfId="51">
      <pivotArea field="4" type="button" dataOnly="0" labelOnly="1" outline="0" axis="axisRow" fieldPosition="2"/>
    </format>
    <format dxfId="50">
      <pivotArea field="4" type="button" dataOnly="0" labelOnly="1" outline="0" axis="axisRow" fieldPosition="2"/>
    </format>
    <format dxfId="49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46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45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44">
      <pivotArea field="4" type="button" dataOnly="0" labelOnly="1" outline="0" axis="axisRow" fieldPosition="2"/>
    </format>
    <format dxfId="43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42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41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40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39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38">
      <pivotArea field="4" type="button" dataOnly="0" labelOnly="1" outline="0" axis="axisRow" fieldPosition="2"/>
    </format>
    <format dxfId="37">
      <pivotArea dataOnly="0" labelOnly="1" outline="0" fieldPosition="0">
        <references count="3">
          <reference field="0" count="1" selected="0">
            <x v="2"/>
          </reference>
          <reference field="3" count="1" selected="0">
            <x v="0"/>
          </reference>
          <reference field="4" count="1">
            <x v="10"/>
          </reference>
        </references>
      </pivotArea>
    </format>
    <format dxfId="36">
      <pivotArea dataOnly="0" labelOnly="1" outline="0" fieldPosition="0">
        <references count="3">
          <reference field="0" count="1" selected="0">
            <x v="11"/>
          </reference>
          <reference field="3" count="1" selected="0">
            <x v="8"/>
          </reference>
          <reference field="4" count="1">
            <x v="3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13"/>
          </reference>
          <reference field="3" count="1" selected="0">
            <x v="10"/>
          </reference>
          <reference field="4" count="1">
            <x v="10"/>
          </reference>
        </references>
      </pivotArea>
    </format>
    <format dxfId="34">
      <pivotArea dataOnly="0" labelOnly="1" outline="0" fieldPosition="0">
        <references count="3">
          <reference field="0" count="1" selected="0">
            <x v="22"/>
          </reference>
          <reference field="3" count="1" selected="0">
            <x v="19"/>
          </reference>
          <reference field="4" count="1">
            <x v="5"/>
          </reference>
        </references>
      </pivotArea>
    </format>
    <format dxfId="33">
      <pivotArea dataOnly="0" labelOnly="1" outline="0" fieldPosition="0">
        <references count="3">
          <reference field="0" count="1" selected="0">
            <x v="28"/>
          </reference>
          <reference field="3" count="1" selected="0">
            <x v="24"/>
          </reference>
          <reference field="4" count="1">
            <x v="9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16"/>
          </reference>
          <reference field="3" count="1" selected="0">
            <x v="12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11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2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14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1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17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2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4"/>
          </reference>
          <reference field="4" count="1" selected="0">
            <x v="10"/>
          </reference>
          <reference field="9" count="1" selected="0">
            <x v="4"/>
          </reference>
          <reference field="11" count="1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14"/>
          </reference>
          <reference field="3" count="1" selected="0">
            <x v="11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2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17"/>
          </reference>
          <reference field="3" count="1" selected="0">
            <x v="14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1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19"/>
          </reference>
          <reference field="3" count="1" selected="0">
            <x v="17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2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7"/>
          </reference>
          <reference field="3" count="1" selected="0">
            <x v="4"/>
          </reference>
          <reference field="4" count="1" selected="0">
            <x v="10"/>
          </reference>
          <reference field="9" count="1" selected="0">
            <x v="4"/>
          </reference>
          <reference field="11" count="1">
            <x v="0"/>
          </reference>
        </references>
      </pivotArea>
    </format>
    <format dxfId="23">
      <pivotArea field="11" type="button" dataOnly="0" labelOnly="1" outline="0" axis="axisRow" fieldPosition="4"/>
    </format>
    <format dxfId="22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0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1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1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8"/>
          </reference>
          <reference field="4" count="1" selected="0">
            <x v="3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10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1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19"/>
          </reference>
          <reference field="4" count="1" selected="0">
            <x v="5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24"/>
          </reference>
          <reference field="4" count="1" selected="0">
            <x v="9"/>
          </reference>
          <reference field="9" count="1" selected="0">
            <x v="6"/>
          </reference>
          <reference field="11" count="1">
            <x v="4"/>
          </reference>
        </references>
      </pivotArea>
    </format>
    <format dxfId="16">
      <pivotArea field="11" type="button" dataOnly="0" labelOnly="1" outline="0" axis="axisRow" fieldPosition="4"/>
    </format>
    <format dxfId="15">
      <pivotArea dataOnly="0" labelOnly="1" outline="0" fieldPosition="0">
        <references count="5">
          <reference field="0" count="1" selected="0">
            <x v="2"/>
          </reference>
          <reference field="3" count="1" selected="0">
            <x v="0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14">
      <pivotArea dataOnly="0" labelOnly="1" outline="0" fieldPosition="0">
        <references count="5">
          <reference field="0" count="1" selected="0">
            <x v="3"/>
          </reference>
          <reference field="3" count="1" selected="0">
            <x v="1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1"/>
          </reference>
        </references>
      </pivotArea>
    </format>
    <format dxfId="13">
      <pivotArea dataOnly="0" labelOnly="1" outline="0" fieldPosition="0">
        <references count="5">
          <reference field="0" count="1" selected="0">
            <x v="11"/>
          </reference>
          <reference field="3" count="1" selected="0">
            <x v="8"/>
          </reference>
          <reference field="4" count="1" selected="0">
            <x v="3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12">
      <pivotArea dataOnly="0" labelOnly="1" outline="0" fieldPosition="0">
        <references count="5">
          <reference field="0" count="1" selected="0">
            <x v="13"/>
          </reference>
          <reference field="3" count="1" selected="0">
            <x v="10"/>
          </reference>
          <reference field="4" count="1" selected="0">
            <x v="10"/>
          </reference>
          <reference field="9" count="1" selected="0">
            <x v="2"/>
          </reference>
          <reference field="11" count="1">
            <x v="1"/>
          </reference>
        </references>
      </pivotArea>
    </format>
    <format dxfId="11">
      <pivotArea dataOnly="0" labelOnly="1" outline="0" fieldPosition="0">
        <references count="5">
          <reference field="0" count="1" selected="0">
            <x v="22"/>
          </reference>
          <reference field="3" count="1" selected="0">
            <x v="19"/>
          </reference>
          <reference field="4" count="1" selected="0">
            <x v="5"/>
          </reference>
          <reference field="9" count="1" selected="0">
            <x v="2"/>
          </reference>
          <reference field="11" count="1">
            <x v="3"/>
          </reference>
        </references>
      </pivotArea>
    </format>
    <format dxfId="10">
      <pivotArea dataOnly="0" labelOnly="1" outline="0" fieldPosition="0">
        <references count="5">
          <reference field="0" count="1" selected="0">
            <x v="28"/>
          </reference>
          <reference field="3" count="1" selected="0">
            <x v="24"/>
          </reference>
          <reference field="4" count="1" selected="0">
            <x v="9"/>
          </reference>
          <reference field="9" count="1" selected="0">
            <x v="6"/>
          </reference>
          <reference field="11" count="1">
            <x v="4"/>
          </reference>
        </references>
      </pivotArea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754C4-218A-F74A-AB5A-B2389E3D88C9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F18" firstHeaderRow="1" firstDataRow="1" firstDataCol="6" rowPageCount="4" colPageCount="1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m="1" x="6"/>
        <item x="3"/>
        <item x="4"/>
        <item x="0"/>
        <item x="1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0"/>
        <item x="4"/>
        <item x="1"/>
        <item x="2"/>
        <item x="3"/>
        <item x="6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x="0"/>
        <item h="1"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sortType="ascending" defaultSubtotal="0">
      <items count="5">
        <item x="0"/>
        <item x="2"/>
        <item x="3"/>
        <item m="1" x="4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5"/>
    <field x="0"/>
    <field x="9"/>
    <field x="12"/>
    <field x="20"/>
    <field x="21"/>
  </rowFields>
  <rowItems count="9">
    <i>
      <x v="2"/>
      <x/>
      <x/>
      <x v="4"/>
      <x/>
      <x v="1"/>
    </i>
    <i r="1">
      <x v="4"/>
      <x/>
      <x v="3"/>
      <x/>
      <x v="1"/>
    </i>
    <i r="1">
      <x v="7"/>
      <x/>
      <x v="4"/>
      <x/>
      <x v="1"/>
    </i>
    <i r="1">
      <x v="9"/>
      <x/>
      <x v="3"/>
      <x/>
      <x v="1"/>
    </i>
    <i r="1">
      <x v="15"/>
      <x/>
      <x v="4"/>
      <x/>
      <x v="1"/>
    </i>
    <i r="1">
      <x v="21"/>
      <x/>
      <x v="6"/>
      <x/>
      <x v="1"/>
    </i>
    <i r="1">
      <x v="27"/>
      <x v="4"/>
      <x/>
      <x v="1"/>
      <x/>
    </i>
    <i r="1">
      <x v="33"/>
      <x v="2"/>
      <x v="7"/>
      <x/>
      <x v="1"/>
    </i>
    <i r="1">
      <x v="35"/>
      <x/>
      <x v="7"/>
      <x/>
      <x v="1"/>
    </i>
  </rowItems>
  <colItems count="1">
    <i/>
  </colItems>
  <pageFields count="4">
    <pageField fld="28" hier="-1"/>
    <pageField fld="30" hier="-1"/>
    <pageField fld="18" hier="-1"/>
    <pageField fld="13" hier="-1"/>
  </pageFields>
  <formats count="2">
    <format dxfId="9">
      <pivotArea field="4" type="button" dataOnly="0" labelOnly="1" outline="0"/>
    </format>
    <format dxfId="8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0466D-1979-DD48-A3E4-686D2C8CD53F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4:I6" firstHeaderRow="1" firstDataRow="1" firstDataCol="9" rowPageCount="2" colPageCount="1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x="20"/>
        <item x="9"/>
        <item x="4"/>
        <item x="11"/>
        <item x="0"/>
        <item x="7"/>
        <item x="25"/>
        <item x="14"/>
        <item x="2"/>
        <item x="19"/>
        <item x="3"/>
        <item x="13"/>
        <item x="18"/>
        <item x="22"/>
        <item x="6"/>
        <item x="12"/>
        <item x="23"/>
        <item x="24"/>
        <item x="15"/>
        <item x="5"/>
        <item x="16"/>
        <item x="8"/>
        <item x="21"/>
        <item x="10"/>
        <item x="17"/>
        <item x="1"/>
        <item x="33"/>
        <item x="26"/>
        <item x="27"/>
        <item x="28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3"/>
        <item x="4"/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1">
        <item x="0"/>
        <item m="1" x="10"/>
        <item x="2"/>
        <item x="3"/>
        <item x="8"/>
        <item x="1"/>
        <item x="4"/>
        <item x="5"/>
        <item x="6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3">
        <item h="1" x="0"/>
        <item h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5"/>
    <field x="0"/>
    <field x="3"/>
    <field x="4"/>
    <field x="6"/>
    <field x="22"/>
    <field x="23"/>
    <field x="24"/>
    <field x="25"/>
  </rowFields>
  <rowItems count="2">
    <i>
      <x v="3"/>
      <x v="12"/>
      <x v="10"/>
      <x v="7"/>
      <x v="2"/>
      <x v="2"/>
      <x/>
      <x/>
      <x/>
    </i>
    <i>
      <x v="4"/>
      <x v="16"/>
      <x v="13"/>
      <x v="12"/>
      <x v="2"/>
      <x v="4"/>
      <x/>
      <x/>
      <x/>
    </i>
  </rowItems>
  <colItems count="1">
    <i/>
  </colItems>
  <pageFields count="2">
    <pageField fld="18" hier="-1"/>
    <pageField fld="27" hier="-1"/>
  </pageFields>
  <formats count="2">
    <format dxfId="5">
      <pivotArea field="4" type="button" dataOnly="0" labelOnly="1" outline="0" axis="axisRow" fieldPosition="3"/>
    </format>
    <format dxfId="4">
      <pivotArea field="4" type="button" dataOnly="0" labelOnly="1" outline="0" axis="axisRow" fieldPosition="3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BA739-07EA-8B4E-8C2A-4B7EC4CB003B}" name="PivotTable1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12:C29" firstHeaderRow="1" firstDataRow="1" firstDataCol="0"/>
  <pivotFields count="3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formats count="2">
    <format dxfId="7">
      <pivotArea field="4" type="button" dataOnly="0" labelOnly="1" outline="0"/>
    </format>
    <format dxfId="6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27A405-2C8C-9242-B410-007424B0945A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B44" firstHeaderRow="1" firstDataRow="1" firstDataCol="2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5">
    <i>
      <x/>
      <x v="2"/>
    </i>
    <i>
      <x v="1"/>
      <x v="2"/>
    </i>
    <i>
      <x v="2"/>
      <x v="2"/>
    </i>
    <i>
      <x v="3"/>
      <x v="2"/>
    </i>
    <i>
      <x v="4"/>
      <x v="2"/>
    </i>
    <i>
      <x v="5"/>
      <x v="2"/>
    </i>
    <i>
      <x v="6"/>
      <x v="2"/>
    </i>
    <i>
      <x v="7"/>
      <x v="2"/>
    </i>
    <i>
      <x v="8"/>
      <x v="2"/>
    </i>
    <i>
      <x v="9"/>
      <x v="2"/>
    </i>
    <i>
      <x v="10"/>
      <x v="2"/>
    </i>
    <i>
      <x v="11"/>
      <x v="2"/>
    </i>
    <i>
      <x v="12"/>
      <x v="3"/>
    </i>
    <i>
      <x v="13"/>
      <x v="2"/>
    </i>
    <i>
      <x v="14"/>
      <x v="2"/>
    </i>
    <i>
      <x v="15"/>
      <x v="2"/>
    </i>
    <i>
      <x v="16"/>
      <x v="4"/>
    </i>
    <i>
      <x v="17"/>
      <x v="2"/>
    </i>
    <i>
      <x v="19"/>
      <x v="2"/>
    </i>
    <i>
      <x v="20"/>
      <x v="2"/>
    </i>
    <i>
      <x v="21"/>
      <x v="2"/>
    </i>
    <i>
      <x v="22"/>
      <x v="2"/>
    </i>
    <i>
      <x v="23"/>
      <x v="1"/>
    </i>
    <i>
      <x v="27"/>
      <x v="2"/>
    </i>
    <i>
      <x v="28"/>
      <x v="2"/>
    </i>
    <i>
      <x v="30"/>
      <x v="1"/>
    </i>
    <i>
      <x v="31"/>
      <x v="2"/>
    </i>
    <i>
      <x v="32"/>
      <x v="2"/>
    </i>
    <i>
      <x v="33"/>
      <x v="2"/>
    </i>
    <i>
      <x v="34"/>
      <x v="2"/>
    </i>
    <i>
      <x v="35"/>
      <x v="2"/>
    </i>
    <i>
      <x v="36"/>
      <x v="2"/>
    </i>
    <i>
      <x v="37"/>
      <x v="2"/>
    </i>
    <i>
      <x v="38"/>
      <x v="2"/>
    </i>
    <i>
      <x v="39"/>
      <x v="2"/>
    </i>
  </rowItems>
  <colItems count="1">
    <i/>
  </colItems>
  <formats count="2">
    <format dxfId="3">
      <pivotArea field="4" type="button" dataOnly="0" labelOnly="1" outline="0"/>
    </format>
    <format dxfId="2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1D9A2A-F553-3042-99C9-D58C37DE7458}" name="PivotTable9" cacheId="54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9:B44" firstHeaderRow="1" firstDataRow="1" firstDataCol="2"/>
  <pivotFields count="32">
    <pivotField axis="axisRow" compact="0" outline="0" showAll="0" defaultSubtotal="0">
      <items count="40">
        <item x="5"/>
        <item x="1"/>
        <item x="20"/>
        <item x="9"/>
        <item x="4"/>
        <item x="11"/>
        <item x="15"/>
        <item x="7"/>
        <item x="14"/>
        <item x="2"/>
        <item x="10"/>
        <item x="19"/>
        <item x="3"/>
        <item x="13"/>
        <item x="18"/>
        <item x="6"/>
        <item x="22"/>
        <item x="12"/>
        <item m="1" x="35"/>
        <item x="16"/>
        <item x="8"/>
        <item x="17"/>
        <item x="21"/>
        <item x="34"/>
        <item m="1" x="37"/>
        <item m="1" x="36"/>
        <item m="1" x="38"/>
        <item x="0"/>
        <item x="23"/>
        <item m="1" x="39"/>
        <item x="33"/>
        <item x="24"/>
        <item x="25"/>
        <item x="27"/>
        <item x="28"/>
        <item x="29"/>
        <item x="30"/>
        <item x="26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3">
        <item x="1"/>
        <item x="4"/>
        <item x="7"/>
        <item x="9"/>
        <item x="5"/>
        <item x="10"/>
        <item x="2"/>
        <item x="3"/>
        <item x="6"/>
        <item x="12"/>
        <item x="0"/>
        <item x="8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m="1" x="4"/>
        <item x="3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5">
    <i>
      <x/>
      <x v="2"/>
    </i>
    <i>
      <x v="1"/>
      <x v="2"/>
    </i>
    <i>
      <x v="2"/>
      <x v="2"/>
    </i>
    <i>
      <x v="3"/>
      <x v="2"/>
    </i>
    <i>
      <x v="4"/>
      <x v="2"/>
    </i>
    <i>
      <x v="5"/>
      <x v="2"/>
    </i>
    <i>
      <x v="6"/>
      <x v="2"/>
    </i>
    <i>
      <x v="7"/>
      <x v="2"/>
    </i>
    <i>
      <x v="8"/>
      <x v="2"/>
    </i>
    <i>
      <x v="9"/>
      <x v="2"/>
    </i>
    <i>
      <x v="10"/>
      <x v="2"/>
    </i>
    <i>
      <x v="11"/>
      <x v="2"/>
    </i>
    <i>
      <x v="12"/>
      <x v="3"/>
    </i>
    <i>
      <x v="13"/>
      <x v="2"/>
    </i>
    <i>
      <x v="14"/>
      <x v="2"/>
    </i>
    <i>
      <x v="15"/>
      <x v="2"/>
    </i>
    <i>
      <x v="16"/>
      <x v="4"/>
    </i>
    <i>
      <x v="17"/>
      <x v="2"/>
    </i>
    <i>
      <x v="19"/>
      <x v="2"/>
    </i>
    <i>
      <x v="20"/>
      <x v="2"/>
    </i>
    <i>
      <x v="21"/>
      <x v="2"/>
    </i>
    <i>
      <x v="22"/>
      <x v="2"/>
    </i>
    <i>
      <x v="23"/>
      <x v="1"/>
    </i>
    <i>
      <x v="27"/>
      <x v="2"/>
    </i>
    <i>
      <x v="28"/>
      <x v="2"/>
    </i>
    <i>
      <x v="30"/>
      <x v="1"/>
    </i>
    <i>
      <x v="31"/>
      <x v="2"/>
    </i>
    <i>
      <x v="32"/>
      <x v="2"/>
    </i>
    <i>
      <x v="33"/>
      <x v="2"/>
    </i>
    <i>
      <x v="34"/>
      <x v="2"/>
    </i>
    <i>
      <x v="35"/>
      <x v="2"/>
    </i>
    <i>
      <x v="36"/>
      <x v="2"/>
    </i>
    <i>
      <x v="37"/>
      <x v="2"/>
    </i>
    <i>
      <x v="38"/>
      <x v="2"/>
    </i>
    <i>
      <x v="39"/>
      <x v="2"/>
    </i>
  </rowItems>
  <colItems count="1">
    <i/>
  </colItems>
  <formats count="2">
    <format dxfId="1">
      <pivotArea field="4" type="button" dataOnly="0" labelOnly="1" outline="0"/>
    </format>
    <format dxfId="0">
      <pivotArea field="4" type="button" dataOnly="0" labelOnly="1" outline="0"/>
    </format>
  </formats>
  <pivotTableStyleInfo name="PivotStyleLight15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7F5046-8B2D-454D-A427-06A8874FBAFC}" name="Table1" displayName="Table1" ref="A1:D4" totalsRowShown="0" headerRowDxfId="59" tableBorderDxfId="58">
  <autoFilter ref="A1:D4" xr:uid="{A8C7635B-5F09-1847-A7DE-BC0C03BAE9FA}"/>
  <tableColumns count="4">
    <tableColumn id="1" xr3:uid="{D4CED152-CB8A-914A-B963-50A2F71DD05D}" name="ELIGIBILITY KEY:"/>
    <tableColumn id="2" xr3:uid="{8A171D82-C741-2F4C-963C-77A8BD904803}" name="PAI"/>
    <tableColumn id="3" xr3:uid="{42566F02-3BA4-4343-B878-C06AB2778716}" name="AI"/>
    <tableColumn id="4" xr3:uid="{28A4A26A-9CC1-334B-B1B5-0A0B1C90225B}" name="SP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zankoam@verizon.net" TargetMode="External"/><Relationship Id="rId13" Type="http://schemas.openxmlformats.org/officeDocument/2006/relationships/hyperlink" Target="mailto:ryandaileydwyer@gmail.coM" TargetMode="External"/><Relationship Id="rId18" Type="http://schemas.openxmlformats.org/officeDocument/2006/relationships/hyperlink" Target="mailto:sgstanfo@buffalo.edu%3e" TargetMode="External"/><Relationship Id="rId26" Type="http://schemas.openxmlformats.org/officeDocument/2006/relationships/hyperlink" Target="mailto:anika.huynh@yahoo.com" TargetMode="External"/><Relationship Id="rId3" Type="http://schemas.openxmlformats.org/officeDocument/2006/relationships/hyperlink" Target="mailto:cbs5493@psu.edu" TargetMode="External"/><Relationship Id="rId21" Type="http://schemas.openxmlformats.org/officeDocument/2006/relationships/hyperlink" Target="mailto:sleepsu7947@gmail.com" TargetMode="External"/><Relationship Id="rId7" Type="http://schemas.openxmlformats.org/officeDocument/2006/relationships/hyperlink" Target="mailto:Ols1147@gmail.com" TargetMode="External"/><Relationship Id="rId12" Type="http://schemas.openxmlformats.org/officeDocument/2006/relationships/hyperlink" Target="mailto:Rothsad13@juniata.edu" TargetMode="External"/><Relationship Id="rId17" Type="http://schemas.openxmlformats.org/officeDocument/2006/relationships/hyperlink" Target="mailto:kxs782@psu.edu" TargetMode="External"/><Relationship Id="rId25" Type="http://schemas.openxmlformats.org/officeDocument/2006/relationships/hyperlink" Target="mailto:Kte22@psu.edu" TargetMode="External"/><Relationship Id="rId2" Type="http://schemas.openxmlformats.org/officeDocument/2006/relationships/hyperlink" Target="mailto:Stone.e.morgan@gmail.com" TargetMode="External"/><Relationship Id="rId16" Type="http://schemas.openxmlformats.org/officeDocument/2006/relationships/hyperlink" Target="mailto:cel5364@psu.edu" TargetMode="External"/><Relationship Id="rId20" Type="http://schemas.openxmlformats.org/officeDocument/2006/relationships/hyperlink" Target="mailto:Austinpeiffer10818@gmail.com" TargetMode="External"/><Relationship Id="rId29" Type="http://schemas.openxmlformats.org/officeDocument/2006/relationships/hyperlink" Target="mailto:jenna597@hotmail.com" TargetMode="External"/><Relationship Id="rId1" Type="http://schemas.openxmlformats.org/officeDocument/2006/relationships/hyperlink" Target="mailto:bfh5164@psu.edu" TargetMode="External"/><Relationship Id="rId6" Type="http://schemas.openxmlformats.org/officeDocument/2006/relationships/hyperlink" Target="mailto:elebo97@yahoo.com" TargetMode="External"/><Relationship Id="rId11" Type="http://schemas.openxmlformats.org/officeDocument/2006/relationships/hyperlink" Target="mailto:brooke.fosaaen@psu.edu" TargetMode="External"/><Relationship Id="rId24" Type="http://schemas.openxmlformats.org/officeDocument/2006/relationships/hyperlink" Target="mailto:bburgess22@icloud.com" TargetMode="External"/><Relationship Id="rId5" Type="http://schemas.openxmlformats.org/officeDocument/2006/relationships/hyperlink" Target="mailto:mbaughman54@gmail.com" TargetMode="External"/><Relationship Id="rId15" Type="http://schemas.openxmlformats.org/officeDocument/2006/relationships/hyperlink" Target="mailto:wylie.sarahe@gmail.com" TargetMode="External"/><Relationship Id="rId23" Type="http://schemas.openxmlformats.org/officeDocument/2006/relationships/hyperlink" Target="mailto:cdl5209@psu.edu" TargetMode="External"/><Relationship Id="rId28" Type="http://schemas.openxmlformats.org/officeDocument/2006/relationships/hyperlink" Target="mailto:Herren12370@yahoo.com" TargetMode="External"/><Relationship Id="rId10" Type="http://schemas.openxmlformats.org/officeDocument/2006/relationships/hyperlink" Target="mailto:Hannah.e.strouse@gmail.com" TargetMode="External"/><Relationship Id="rId19" Type="http://schemas.openxmlformats.org/officeDocument/2006/relationships/hyperlink" Target="mailto:Ethanbkol2@gmail.com" TargetMode="External"/><Relationship Id="rId4" Type="http://schemas.openxmlformats.org/officeDocument/2006/relationships/hyperlink" Target="mailto:jjd287@cornell.edu" TargetMode="External"/><Relationship Id="rId9" Type="http://schemas.openxmlformats.org/officeDocument/2006/relationships/hyperlink" Target="mailto:ems6051@psu.edu" TargetMode="External"/><Relationship Id="rId14" Type="http://schemas.openxmlformats.org/officeDocument/2006/relationships/hyperlink" Target="mailto:lxr5226@psu.edu" TargetMode="External"/><Relationship Id="rId22" Type="http://schemas.openxmlformats.org/officeDocument/2006/relationships/hyperlink" Target="mailto:lmw58@psu.edu" TargetMode="External"/><Relationship Id="rId27" Type="http://schemas.openxmlformats.org/officeDocument/2006/relationships/hyperlink" Target="mailto:Bstro111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6DBB-D558-6F4B-88B4-5513DB56D711}">
  <sheetPr codeName="Sheet1" filterMode="1"/>
  <dimension ref="A1:AF37"/>
  <sheetViews>
    <sheetView tabSelected="1" zoomScaleNormal="100" workbookViewId="0">
      <pane xSplit="1" topLeftCell="G1" activePane="topRight" state="frozen"/>
      <selection pane="topRight" activeCell="J38" sqref="J38"/>
    </sheetView>
  </sheetViews>
  <sheetFormatPr baseColWidth="10" defaultRowHeight="16" x14ac:dyDescent="0.2"/>
  <cols>
    <col min="1" max="1" width="35.1640625" customWidth="1"/>
    <col min="2" max="3" width="18.83203125" customWidth="1"/>
    <col min="4" max="4" width="22.5" customWidth="1"/>
    <col min="5" max="5" width="16" style="16" customWidth="1"/>
    <col min="6" max="6" width="8.83203125" style="36" customWidth="1"/>
    <col min="7" max="7" width="11.1640625" customWidth="1"/>
    <col min="8" max="8" width="12.5" customWidth="1"/>
    <col min="9" max="9" width="21.83203125" customWidth="1"/>
    <col min="10" max="10" width="18.33203125" customWidth="1"/>
    <col min="11" max="11" width="20.83203125" customWidth="1"/>
    <col min="12" max="12" width="21.83203125" style="4" customWidth="1"/>
    <col min="13" max="13" width="27.1640625" style="4" customWidth="1"/>
    <col min="14" max="14" width="23" style="4" hidden="1" customWidth="1"/>
    <col min="15" max="15" width="12.1640625" customWidth="1"/>
    <col min="16" max="16" width="10.6640625" style="25" customWidth="1"/>
    <col min="17" max="17" width="10.83203125" style="25" hidden="1" customWidth="1"/>
    <col min="18" max="18" width="14.5" customWidth="1"/>
    <col min="19" max="19" width="19.5" customWidth="1"/>
    <col min="20" max="20" width="7.5" customWidth="1"/>
    <col min="21" max="21" width="24.83203125" bestFit="1" customWidth="1"/>
    <col min="22" max="27" width="30.33203125" customWidth="1"/>
    <col min="28" max="28" width="30.33203125" hidden="1" customWidth="1"/>
    <col min="29" max="29" width="19.5" hidden="1" customWidth="1"/>
    <col min="30" max="30" width="19.5" customWidth="1"/>
    <col min="31" max="31" width="21.33203125" customWidth="1"/>
    <col min="32" max="32" width="26.5" customWidth="1"/>
  </cols>
  <sheetData>
    <row r="1" spans="1:32" s="1" customFormat="1" x14ac:dyDescent="0.2">
      <c r="A1" s="1" t="s">
        <v>0</v>
      </c>
      <c r="B1" s="22" t="s">
        <v>111</v>
      </c>
      <c r="C1" s="22" t="s">
        <v>112</v>
      </c>
      <c r="D1" s="22" t="s">
        <v>2</v>
      </c>
      <c r="E1" s="23" t="s">
        <v>1</v>
      </c>
      <c r="F1" s="34" t="s">
        <v>91</v>
      </c>
      <c r="G1" s="26" t="s">
        <v>5</v>
      </c>
      <c r="H1" s="26" t="s">
        <v>153</v>
      </c>
      <c r="I1" s="22" t="s">
        <v>3</v>
      </c>
      <c r="J1" s="22" t="s">
        <v>4</v>
      </c>
      <c r="K1" s="22" t="s">
        <v>155</v>
      </c>
      <c r="L1" s="27" t="s">
        <v>92</v>
      </c>
      <c r="M1" s="27" t="s">
        <v>93</v>
      </c>
      <c r="N1" s="28" t="s">
        <v>102</v>
      </c>
      <c r="O1" s="26" t="s">
        <v>101</v>
      </c>
      <c r="P1" s="29" t="s">
        <v>98</v>
      </c>
      <c r="Q1" s="29" t="s">
        <v>99</v>
      </c>
      <c r="R1" s="26" t="s">
        <v>100</v>
      </c>
      <c r="S1" s="22" t="s">
        <v>95</v>
      </c>
      <c r="T1" s="26" t="s">
        <v>9</v>
      </c>
      <c r="U1" s="22" t="s">
        <v>96</v>
      </c>
      <c r="V1" s="22" t="s">
        <v>97</v>
      </c>
      <c r="W1" s="22" t="s">
        <v>103</v>
      </c>
      <c r="X1" s="22" t="s">
        <v>104</v>
      </c>
      <c r="Y1" s="22" t="s">
        <v>105</v>
      </c>
      <c r="Z1" s="22" t="s">
        <v>106</v>
      </c>
      <c r="AA1" s="22" t="s">
        <v>107</v>
      </c>
      <c r="AB1" s="1" t="s">
        <v>121</v>
      </c>
      <c r="AC1" s="2" t="s">
        <v>84</v>
      </c>
      <c r="AD1" s="2" t="s">
        <v>152</v>
      </c>
      <c r="AE1" s="1" t="s">
        <v>10</v>
      </c>
      <c r="AF1" s="1" t="s">
        <v>11</v>
      </c>
    </row>
    <row r="2" spans="1:32" s="11" customFormat="1" hidden="1" x14ac:dyDescent="0.2">
      <c r="A2" s="12" t="s">
        <v>87</v>
      </c>
      <c r="B2" s="12"/>
      <c r="C2" s="12"/>
      <c r="D2" s="13" t="s">
        <v>88</v>
      </c>
      <c r="E2" s="15" t="s">
        <v>18</v>
      </c>
      <c r="F2" s="35" t="s">
        <v>18</v>
      </c>
      <c r="G2" s="12"/>
      <c r="H2" s="12"/>
      <c r="I2" s="11" t="s">
        <v>32</v>
      </c>
      <c r="J2" s="11" t="s">
        <v>89</v>
      </c>
      <c r="L2" s="14"/>
      <c r="M2" s="14" t="s">
        <v>18</v>
      </c>
      <c r="N2" s="4" t="s">
        <v>86</v>
      </c>
      <c r="O2" s="12"/>
      <c r="P2" s="24"/>
      <c r="Q2" s="24"/>
      <c r="R2" s="12"/>
      <c r="S2" s="11" t="s">
        <v>48</v>
      </c>
      <c r="T2" s="12"/>
      <c r="U2" s="11">
        <v>8</v>
      </c>
      <c r="AB2" s="11" t="str">
        <f>IF(W2&lt;&gt;"","Y","N")</f>
        <v>N</v>
      </c>
      <c r="AC2" s="12" t="str">
        <f>IF(AE2&lt;&gt;"","Y","N")</f>
        <v>Y</v>
      </c>
      <c r="AD2" s="12">
        <f ca="1">COUNTIF(W2,"&lt;"&amp;TODAY())</f>
        <v>0</v>
      </c>
      <c r="AE2" s="12" t="s">
        <v>90</v>
      </c>
    </row>
    <row r="3" spans="1:32" hidden="1" x14ac:dyDescent="0.2">
      <c r="A3" s="5" t="s">
        <v>41</v>
      </c>
      <c r="B3" s="5"/>
      <c r="C3" s="5"/>
      <c r="D3" s="6" t="s">
        <v>42</v>
      </c>
      <c r="E3" s="16">
        <v>3013106934</v>
      </c>
      <c r="F3" s="35" t="s">
        <v>18</v>
      </c>
      <c r="G3" t="s">
        <v>23</v>
      </c>
      <c r="I3" t="s">
        <v>21</v>
      </c>
      <c r="J3" t="s">
        <v>94</v>
      </c>
      <c r="L3" s="4">
        <v>43671</v>
      </c>
      <c r="M3" s="4">
        <v>43672</v>
      </c>
      <c r="N3" s="4" t="str">
        <f t="shared" ref="N3:N34" si="0">IF(M3&lt;&gt;"","Y","N")</f>
        <v>Y</v>
      </c>
      <c r="O3">
        <v>24</v>
      </c>
      <c r="P3" s="25">
        <v>8</v>
      </c>
      <c r="Q3" s="25">
        <v>0</v>
      </c>
      <c r="R3">
        <v>9</v>
      </c>
      <c r="S3" t="s">
        <v>14</v>
      </c>
      <c r="T3" t="s">
        <v>44</v>
      </c>
      <c r="AB3" s="11" t="str">
        <f t="shared" ref="AB3:AB27" si="1">IF(W3&lt;&gt;"","Y","N")</f>
        <v>N</v>
      </c>
      <c r="AC3" s="12" t="str">
        <f t="shared" ref="AC3:AC27" si="2">IF(AE3&lt;&gt;"","Y","N")</f>
        <v>N</v>
      </c>
      <c r="AD3" s="12">
        <f t="shared" ref="AD3:AD36" ca="1" si="3">COUNTIF(W3,"&lt;"&amp;TODAY())</f>
        <v>0</v>
      </c>
    </row>
    <row r="4" spans="1:32" hidden="1" x14ac:dyDescent="0.2">
      <c r="A4" t="s">
        <v>45</v>
      </c>
      <c r="D4" s="3" t="s">
        <v>47</v>
      </c>
      <c r="E4" s="16" t="s">
        <v>46</v>
      </c>
      <c r="F4" s="36" t="s">
        <v>18</v>
      </c>
      <c r="G4" t="s">
        <v>23</v>
      </c>
      <c r="H4" t="s">
        <v>154</v>
      </c>
      <c r="I4" t="s">
        <v>32</v>
      </c>
      <c r="J4" t="s">
        <v>43</v>
      </c>
      <c r="L4" s="4">
        <v>43670</v>
      </c>
      <c r="M4" s="4">
        <v>43670</v>
      </c>
      <c r="N4" s="4" t="str">
        <f t="shared" si="0"/>
        <v>Y</v>
      </c>
      <c r="O4">
        <v>14</v>
      </c>
      <c r="P4" s="25">
        <v>5</v>
      </c>
      <c r="Q4" s="25">
        <v>1</v>
      </c>
      <c r="R4">
        <v>3</v>
      </c>
      <c r="S4" t="s">
        <v>48</v>
      </c>
      <c r="T4" t="s">
        <v>44</v>
      </c>
      <c r="U4">
        <v>1</v>
      </c>
      <c r="V4">
        <v>0</v>
      </c>
      <c r="W4" s="4">
        <v>43591</v>
      </c>
      <c r="AB4" s="11" t="str">
        <f t="shared" si="1"/>
        <v>Y</v>
      </c>
      <c r="AC4" s="12" t="str">
        <f t="shared" si="2"/>
        <v>N</v>
      </c>
      <c r="AD4" s="12">
        <f t="shared" ca="1" si="3"/>
        <v>1</v>
      </c>
    </row>
    <row r="5" spans="1:32" hidden="1" x14ac:dyDescent="0.2">
      <c r="A5" t="s">
        <v>50</v>
      </c>
      <c r="D5" s="3" t="s">
        <v>52</v>
      </c>
      <c r="E5" s="16" t="s">
        <v>51</v>
      </c>
      <c r="F5" s="35">
        <v>1</v>
      </c>
      <c r="G5" t="str" cm="1">
        <f t="array" ref="G5">IF(5&lt;=7, "SAD", IF(O5&gt;=38, AND(MasterData!P5) &gt;=12, "BPD") _xlfn.IFS(MasterData!O5 &lt;=12,  MasterData!P5 &lt;=3, MasterData!Q5 &lt;=3, "HC"))</f>
        <v>SAD</v>
      </c>
      <c r="H5" t="s">
        <v>154</v>
      </c>
      <c r="I5" t="s">
        <v>21</v>
      </c>
      <c r="J5" t="s">
        <v>94</v>
      </c>
      <c r="L5" s="4">
        <v>43670</v>
      </c>
      <c r="M5" s="4">
        <v>43670</v>
      </c>
      <c r="N5" s="4" t="str">
        <f t="shared" si="0"/>
        <v>Y</v>
      </c>
      <c r="O5">
        <v>46</v>
      </c>
      <c r="P5" s="25">
        <v>6</v>
      </c>
      <c r="Q5" s="25">
        <v>11</v>
      </c>
      <c r="R5">
        <v>9</v>
      </c>
      <c r="S5" t="s">
        <v>14</v>
      </c>
      <c r="T5" t="s">
        <v>44</v>
      </c>
      <c r="U5" s="10">
        <v>1</v>
      </c>
      <c r="W5" s="4">
        <v>43623</v>
      </c>
      <c r="AB5" s="11" t="str">
        <f t="shared" si="1"/>
        <v>Y</v>
      </c>
      <c r="AC5" s="12" t="str">
        <f t="shared" si="2"/>
        <v>N</v>
      </c>
      <c r="AD5" s="12">
        <f t="shared" ca="1" si="3"/>
        <v>1</v>
      </c>
    </row>
    <row r="6" spans="1:32" hidden="1" x14ac:dyDescent="0.2">
      <c r="A6" t="s">
        <v>53</v>
      </c>
      <c r="D6" s="3" t="s">
        <v>54</v>
      </c>
      <c r="E6" s="16">
        <v>5635470125</v>
      </c>
      <c r="F6" s="36" t="s">
        <v>18</v>
      </c>
      <c r="G6" t="s">
        <v>23</v>
      </c>
      <c r="H6" t="s">
        <v>156</v>
      </c>
      <c r="I6" t="s">
        <v>32</v>
      </c>
      <c r="J6" t="s">
        <v>43</v>
      </c>
      <c r="L6" s="4">
        <v>43670</v>
      </c>
      <c r="M6" s="4">
        <v>43670</v>
      </c>
      <c r="N6" s="4" t="str">
        <f t="shared" si="0"/>
        <v>Y</v>
      </c>
      <c r="O6">
        <v>17</v>
      </c>
      <c r="P6" s="25">
        <v>2</v>
      </c>
      <c r="Q6" s="25">
        <v>3</v>
      </c>
      <c r="R6">
        <v>6</v>
      </c>
      <c r="S6" t="s">
        <v>48</v>
      </c>
      <c r="T6" t="s">
        <v>44</v>
      </c>
      <c r="U6">
        <v>1</v>
      </c>
      <c r="V6">
        <v>0</v>
      </c>
      <c r="W6" s="4">
        <v>43684</v>
      </c>
      <c r="AB6" s="11" t="str">
        <f t="shared" si="1"/>
        <v>Y</v>
      </c>
      <c r="AC6" s="12" t="str">
        <f t="shared" si="2"/>
        <v>N</v>
      </c>
      <c r="AD6" s="12">
        <f t="shared" ca="1" si="3"/>
        <v>0</v>
      </c>
    </row>
    <row r="7" spans="1:32" x14ac:dyDescent="0.2">
      <c r="A7" t="s">
        <v>55</v>
      </c>
      <c r="D7" s="3" t="s">
        <v>56</v>
      </c>
      <c r="E7" s="16">
        <v>8143860862</v>
      </c>
      <c r="F7" s="35" t="s">
        <v>18</v>
      </c>
      <c r="G7" t="s">
        <v>15</v>
      </c>
      <c r="H7" t="s">
        <v>154</v>
      </c>
      <c r="I7" t="s">
        <v>21</v>
      </c>
      <c r="J7" t="s">
        <v>43</v>
      </c>
      <c r="L7" s="4">
        <v>43671</v>
      </c>
      <c r="M7" s="4">
        <v>43671</v>
      </c>
      <c r="N7" s="4" t="str">
        <f t="shared" si="0"/>
        <v>Y</v>
      </c>
      <c r="O7">
        <v>36</v>
      </c>
      <c r="P7" s="25">
        <v>7</v>
      </c>
      <c r="Q7" s="25">
        <v>7</v>
      </c>
      <c r="R7">
        <v>10</v>
      </c>
      <c r="S7" t="s">
        <v>48</v>
      </c>
      <c r="T7" t="s">
        <v>44</v>
      </c>
      <c r="U7" s="10">
        <v>1</v>
      </c>
      <c r="V7">
        <v>0</v>
      </c>
      <c r="W7" s="4">
        <v>43617</v>
      </c>
      <c r="AB7" s="11" t="str">
        <f t="shared" si="1"/>
        <v>Y</v>
      </c>
      <c r="AC7" s="12" t="str">
        <f t="shared" si="2"/>
        <v>N</v>
      </c>
      <c r="AD7" s="12">
        <f t="shared" ca="1" si="3"/>
        <v>1</v>
      </c>
    </row>
    <row r="8" spans="1:32" x14ac:dyDescent="0.2">
      <c r="A8" t="s">
        <v>59</v>
      </c>
      <c r="D8" s="3" t="s">
        <v>60</v>
      </c>
      <c r="E8" s="16" t="s">
        <v>18</v>
      </c>
      <c r="F8" s="35" t="s">
        <v>18</v>
      </c>
      <c r="G8" t="s">
        <v>15</v>
      </c>
      <c r="H8" t="s">
        <v>154</v>
      </c>
      <c r="I8" t="s">
        <v>32</v>
      </c>
      <c r="J8" t="s">
        <v>43</v>
      </c>
      <c r="L8" s="4">
        <v>43671</v>
      </c>
      <c r="M8" s="4">
        <v>43671</v>
      </c>
      <c r="N8" s="4" t="str">
        <f t="shared" si="0"/>
        <v>Y</v>
      </c>
      <c r="O8">
        <v>14</v>
      </c>
      <c r="P8" s="25">
        <v>4</v>
      </c>
      <c r="Q8" s="25">
        <v>3</v>
      </c>
      <c r="R8">
        <v>3</v>
      </c>
      <c r="S8" t="s">
        <v>48</v>
      </c>
      <c r="T8" t="s">
        <v>44</v>
      </c>
      <c r="U8">
        <v>1</v>
      </c>
      <c r="V8">
        <v>0</v>
      </c>
      <c r="W8" s="4">
        <v>43652</v>
      </c>
      <c r="AB8" s="11" t="str">
        <f t="shared" si="1"/>
        <v>Y</v>
      </c>
      <c r="AC8" s="12" t="str">
        <f t="shared" si="2"/>
        <v>N</v>
      </c>
      <c r="AD8" s="12">
        <f t="shared" ca="1" si="3"/>
        <v>1</v>
      </c>
    </row>
    <row r="9" spans="1:32" hidden="1" x14ac:dyDescent="0.2">
      <c r="A9" t="s">
        <v>63</v>
      </c>
      <c r="D9" s="3" t="s">
        <v>65</v>
      </c>
      <c r="E9" s="16" t="s">
        <v>64</v>
      </c>
      <c r="F9" s="35" t="s">
        <v>18</v>
      </c>
      <c r="G9" t="s">
        <v>27</v>
      </c>
      <c r="H9" t="s">
        <v>154</v>
      </c>
      <c r="I9" t="s">
        <v>32</v>
      </c>
      <c r="J9" t="s">
        <v>43</v>
      </c>
      <c r="L9" s="4">
        <v>43671</v>
      </c>
      <c r="M9" s="4">
        <v>43671</v>
      </c>
      <c r="N9" s="4" t="str">
        <f t="shared" si="0"/>
        <v>Y</v>
      </c>
      <c r="O9">
        <v>20</v>
      </c>
      <c r="P9" s="25">
        <v>6</v>
      </c>
      <c r="Q9" s="25">
        <v>3</v>
      </c>
      <c r="R9">
        <v>3</v>
      </c>
      <c r="S9" t="s">
        <v>48</v>
      </c>
      <c r="T9" t="s">
        <v>44</v>
      </c>
      <c r="U9">
        <v>1</v>
      </c>
      <c r="V9">
        <v>0</v>
      </c>
      <c r="W9" s="4">
        <v>43689</v>
      </c>
      <c r="AB9" s="11" t="str">
        <f t="shared" si="1"/>
        <v>Y</v>
      </c>
      <c r="AC9" s="12" t="str">
        <f t="shared" si="2"/>
        <v>Y</v>
      </c>
      <c r="AD9" s="12">
        <f t="shared" ca="1" si="3"/>
        <v>0</v>
      </c>
      <c r="AE9" t="s">
        <v>66</v>
      </c>
    </row>
    <row r="10" spans="1:32" hidden="1" x14ac:dyDescent="0.2">
      <c r="A10" t="s">
        <v>70</v>
      </c>
      <c r="D10" s="3" t="s">
        <v>71</v>
      </c>
      <c r="E10" s="16">
        <v>7166018408</v>
      </c>
      <c r="F10" s="35" t="s">
        <v>18</v>
      </c>
      <c r="G10" t="s">
        <v>27</v>
      </c>
      <c r="I10" t="s">
        <v>72</v>
      </c>
      <c r="J10" t="s">
        <v>94</v>
      </c>
      <c r="L10" s="4">
        <v>43671</v>
      </c>
      <c r="M10" s="4">
        <v>43671</v>
      </c>
      <c r="N10" s="4" t="str">
        <f>IF(M10&lt;&gt;"","Y","N")</f>
        <v>Y</v>
      </c>
      <c r="O10">
        <v>7</v>
      </c>
      <c r="P10" s="25">
        <v>1</v>
      </c>
      <c r="Q10" s="25">
        <v>0</v>
      </c>
      <c r="R10">
        <v>1</v>
      </c>
      <c r="S10" t="s">
        <v>14</v>
      </c>
      <c r="T10" t="s">
        <v>44</v>
      </c>
      <c r="AB10" s="11" t="str">
        <f t="shared" si="1"/>
        <v>N</v>
      </c>
      <c r="AC10" s="12" t="str">
        <f t="shared" si="2"/>
        <v>N</v>
      </c>
      <c r="AD10" s="12">
        <f t="shared" ca="1" si="3"/>
        <v>0</v>
      </c>
    </row>
    <row r="11" spans="1:32" hidden="1" x14ac:dyDescent="0.2">
      <c r="A11" t="s">
        <v>19</v>
      </c>
      <c r="D11" s="3" t="s">
        <v>20</v>
      </c>
      <c r="E11" s="15" t="s">
        <v>18</v>
      </c>
      <c r="F11" s="36" t="s">
        <v>18</v>
      </c>
      <c r="I11" t="s">
        <v>21</v>
      </c>
      <c r="J11" t="s">
        <v>22</v>
      </c>
      <c r="L11" s="4">
        <v>43670</v>
      </c>
      <c r="N11" s="4" t="str">
        <f t="shared" si="0"/>
        <v>N</v>
      </c>
      <c r="AB11" s="11" t="str">
        <f t="shared" si="1"/>
        <v>N</v>
      </c>
      <c r="AC11" s="12" t="str">
        <f t="shared" si="2"/>
        <v>N</v>
      </c>
      <c r="AD11" s="12">
        <f t="shared" ca="1" si="3"/>
        <v>0</v>
      </c>
    </row>
    <row r="12" spans="1:32" hidden="1" x14ac:dyDescent="0.2">
      <c r="A12" t="s">
        <v>25</v>
      </c>
      <c r="D12" s="3" t="s">
        <v>26</v>
      </c>
      <c r="E12" s="15" t="s">
        <v>18</v>
      </c>
      <c r="F12" s="35" t="s">
        <v>18</v>
      </c>
      <c r="I12" t="s">
        <v>21</v>
      </c>
      <c r="J12" t="s">
        <v>22</v>
      </c>
      <c r="L12" s="4">
        <v>43670</v>
      </c>
      <c r="N12" s="4" t="str">
        <f t="shared" si="0"/>
        <v>N</v>
      </c>
      <c r="AB12" s="11" t="str">
        <f t="shared" si="1"/>
        <v>N</v>
      </c>
      <c r="AC12" s="12" t="str">
        <f t="shared" si="2"/>
        <v>N</v>
      </c>
      <c r="AD12" s="12">
        <f t="shared" ca="1" si="3"/>
        <v>0</v>
      </c>
    </row>
    <row r="13" spans="1:32" hidden="1" x14ac:dyDescent="0.2">
      <c r="A13" t="s">
        <v>30</v>
      </c>
      <c r="D13" s="3" t="s">
        <v>31</v>
      </c>
      <c r="E13" s="15" t="s">
        <v>18</v>
      </c>
      <c r="F13" s="36" t="s">
        <v>18</v>
      </c>
      <c r="I13" t="s">
        <v>32</v>
      </c>
      <c r="J13" t="s">
        <v>22</v>
      </c>
      <c r="L13" s="4">
        <v>43670</v>
      </c>
      <c r="N13" s="4" t="str">
        <f t="shared" si="0"/>
        <v>N</v>
      </c>
      <c r="AB13" s="11" t="str">
        <f t="shared" si="1"/>
        <v>N</v>
      </c>
      <c r="AC13" s="12" t="str">
        <f t="shared" si="2"/>
        <v>N</v>
      </c>
      <c r="AD13" s="12">
        <f t="shared" ca="1" si="3"/>
        <v>0</v>
      </c>
    </row>
    <row r="14" spans="1:32" hidden="1" x14ac:dyDescent="0.2">
      <c r="A14" t="s">
        <v>33</v>
      </c>
      <c r="D14" s="3" t="s">
        <v>34</v>
      </c>
      <c r="E14" s="15" t="s">
        <v>18</v>
      </c>
      <c r="F14" s="35" t="s">
        <v>18</v>
      </c>
      <c r="I14" t="s">
        <v>32</v>
      </c>
      <c r="J14" t="s">
        <v>22</v>
      </c>
      <c r="L14" s="4">
        <v>43670</v>
      </c>
      <c r="N14" s="4" t="str">
        <f t="shared" si="0"/>
        <v>N</v>
      </c>
      <c r="AB14" s="11" t="str">
        <f t="shared" si="1"/>
        <v>N</v>
      </c>
      <c r="AC14" s="12" t="str">
        <f t="shared" si="2"/>
        <v>N</v>
      </c>
      <c r="AD14" s="12">
        <f t="shared" ca="1" si="3"/>
        <v>0</v>
      </c>
    </row>
    <row r="15" spans="1:32" hidden="1" x14ac:dyDescent="0.2">
      <c r="A15" s="5" t="s">
        <v>35</v>
      </c>
      <c r="B15" s="5"/>
      <c r="C15" s="5"/>
      <c r="D15" s="6" t="s">
        <v>36</v>
      </c>
      <c r="E15" s="15" t="s">
        <v>18</v>
      </c>
      <c r="F15" s="36" t="s">
        <v>18</v>
      </c>
      <c r="I15" t="s">
        <v>32</v>
      </c>
      <c r="J15" t="s">
        <v>22</v>
      </c>
      <c r="L15" s="4">
        <v>43670</v>
      </c>
      <c r="N15" s="4" t="str">
        <f t="shared" si="0"/>
        <v>N</v>
      </c>
      <c r="AB15" s="11" t="str">
        <f t="shared" si="1"/>
        <v>N</v>
      </c>
      <c r="AC15" s="12" t="str">
        <f t="shared" si="2"/>
        <v>N</v>
      </c>
      <c r="AD15" s="12">
        <f t="shared" ca="1" si="3"/>
        <v>0</v>
      </c>
    </row>
    <row r="16" spans="1:32" hidden="1" x14ac:dyDescent="0.2">
      <c r="A16" t="s">
        <v>37</v>
      </c>
      <c r="D16" s="3" t="s">
        <v>38</v>
      </c>
      <c r="E16" s="15" t="s">
        <v>18</v>
      </c>
      <c r="F16" s="35" t="s">
        <v>18</v>
      </c>
      <c r="I16" t="s">
        <v>32</v>
      </c>
      <c r="J16" t="s">
        <v>22</v>
      </c>
      <c r="L16" s="4">
        <v>43670</v>
      </c>
      <c r="N16" s="4" t="str">
        <f t="shared" si="0"/>
        <v>N</v>
      </c>
      <c r="AB16" s="11" t="str">
        <f t="shared" si="1"/>
        <v>N</v>
      </c>
      <c r="AC16" s="12" t="str">
        <f t="shared" si="2"/>
        <v>N</v>
      </c>
      <c r="AD16" s="12">
        <f t="shared" ca="1" si="3"/>
        <v>0</v>
      </c>
    </row>
    <row r="17" spans="1:32" hidden="1" x14ac:dyDescent="0.2">
      <c r="A17" s="5" t="s">
        <v>39</v>
      </c>
      <c r="B17" s="5"/>
      <c r="C17" s="5"/>
      <c r="D17" s="6" t="s">
        <v>40</v>
      </c>
      <c r="E17" s="15" t="s">
        <v>18</v>
      </c>
      <c r="F17" s="36" t="s">
        <v>18</v>
      </c>
      <c r="I17" t="s">
        <v>21</v>
      </c>
      <c r="J17" t="s">
        <v>22</v>
      </c>
      <c r="L17" s="4">
        <v>43670</v>
      </c>
      <c r="N17" s="4" t="str">
        <f t="shared" si="0"/>
        <v>N</v>
      </c>
      <c r="AB17" s="11" t="str">
        <f t="shared" si="1"/>
        <v>N</v>
      </c>
      <c r="AC17" s="12" t="str">
        <f t="shared" si="2"/>
        <v>N</v>
      </c>
      <c r="AD17" s="12">
        <f t="shared" ca="1" si="3"/>
        <v>0</v>
      </c>
    </row>
    <row r="18" spans="1:32" ht="34" hidden="1" x14ac:dyDescent="0.2">
      <c r="A18" t="s">
        <v>57</v>
      </c>
      <c r="D18" s="7" t="s">
        <v>58</v>
      </c>
      <c r="E18" s="16" t="s">
        <v>18</v>
      </c>
      <c r="F18" s="36" t="s">
        <v>18</v>
      </c>
      <c r="I18" t="s">
        <v>21</v>
      </c>
      <c r="J18" t="s">
        <v>22</v>
      </c>
      <c r="L18" s="4">
        <v>43671</v>
      </c>
      <c r="N18" s="4" t="str">
        <f t="shared" si="0"/>
        <v>N</v>
      </c>
      <c r="U18">
        <v>1</v>
      </c>
      <c r="AB18" s="11" t="str">
        <f t="shared" si="1"/>
        <v>N</v>
      </c>
      <c r="AC18" s="12" t="str">
        <f t="shared" si="2"/>
        <v>N</v>
      </c>
      <c r="AD18" s="12">
        <f t="shared" ca="1" si="3"/>
        <v>0</v>
      </c>
    </row>
    <row r="19" spans="1:32" hidden="1" x14ac:dyDescent="0.2">
      <c r="A19" t="s">
        <v>61</v>
      </c>
      <c r="D19" s="3" t="s">
        <v>62</v>
      </c>
      <c r="E19" s="16">
        <v>8142373315</v>
      </c>
      <c r="F19" s="36" t="s">
        <v>18</v>
      </c>
      <c r="G19" t="s">
        <v>27</v>
      </c>
      <c r="H19" t="s">
        <v>156</v>
      </c>
      <c r="I19" t="s">
        <v>32</v>
      </c>
      <c r="J19" t="s">
        <v>43</v>
      </c>
      <c r="L19" s="4">
        <v>43671</v>
      </c>
      <c r="M19" s="4">
        <v>43675</v>
      </c>
      <c r="N19" s="4" t="str">
        <f t="shared" si="0"/>
        <v>Y</v>
      </c>
      <c r="O19">
        <v>35</v>
      </c>
      <c r="P19" s="25">
        <v>12</v>
      </c>
      <c r="Q19" s="25">
        <v>5</v>
      </c>
      <c r="R19">
        <v>1</v>
      </c>
      <c r="S19" t="s">
        <v>48</v>
      </c>
      <c r="T19" t="s">
        <v>44</v>
      </c>
      <c r="U19" s="10">
        <v>1</v>
      </c>
      <c r="V19">
        <v>0</v>
      </c>
      <c r="W19" s="4">
        <v>43688</v>
      </c>
      <c r="AB19" s="11" t="str">
        <f t="shared" si="1"/>
        <v>Y</v>
      </c>
      <c r="AC19" s="12" t="str">
        <f t="shared" si="2"/>
        <v>N</v>
      </c>
      <c r="AD19" s="12">
        <f t="shared" ca="1" si="3"/>
        <v>0</v>
      </c>
    </row>
    <row r="20" spans="1:32" hidden="1" x14ac:dyDescent="0.2">
      <c r="A20" t="s">
        <v>67</v>
      </c>
      <c r="D20" s="3" t="s">
        <v>68</v>
      </c>
      <c r="E20" s="16" t="s">
        <v>18</v>
      </c>
      <c r="F20" s="36" t="s">
        <v>18</v>
      </c>
      <c r="J20" t="s">
        <v>22</v>
      </c>
      <c r="L20" s="4">
        <v>43671</v>
      </c>
      <c r="N20" s="4" t="str">
        <f t="shared" si="0"/>
        <v>N</v>
      </c>
      <c r="U20">
        <v>1</v>
      </c>
      <c r="AB20" s="11" t="str">
        <f t="shared" si="1"/>
        <v>N</v>
      </c>
      <c r="AC20" s="12" t="str">
        <f t="shared" si="2"/>
        <v>Y</v>
      </c>
      <c r="AD20" s="12">
        <f t="shared" ca="1" si="3"/>
        <v>0</v>
      </c>
      <c r="AE20" t="s">
        <v>69</v>
      </c>
    </row>
    <row r="21" spans="1:32" hidden="1" x14ac:dyDescent="0.2">
      <c r="A21" t="s">
        <v>73</v>
      </c>
      <c r="D21" s="3" t="s">
        <v>74</v>
      </c>
      <c r="E21" s="16">
        <v>8143604025</v>
      </c>
      <c r="F21" s="36" t="s">
        <v>18</v>
      </c>
      <c r="G21" t="s">
        <v>23</v>
      </c>
      <c r="I21" t="s">
        <v>13</v>
      </c>
      <c r="J21" t="s">
        <v>22</v>
      </c>
      <c r="L21" s="4">
        <v>43672</v>
      </c>
      <c r="N21" s="4" t="str">
        <f t="shared" si="0"/>
        <v>N</v>
      </c>
      <c r="AB21" s="11" t="str">
        <f t="shared" si="1"/>
        <v>N</v>
      </c>
      <c r="AC21" s="12" t="str">
        <f t="shared" si="2"/>
        <v>N</v>
      </c>
      <c r="AD21" s="12">
        <f t="shared" ca="1" si="3"/>
        <v>0</v>
      </c>
      <c r="AF21" t="s">
        <v>151</v>
      </c>
    </row>
    <row r="22" spans="1:32" hidden="1" x14ac:dyDescent="0.2">
      <c r="A22" t="s">
        <v>75</v>
      </c>
      <c r="D22" s="3" t="s">
        <v>76</v>
      </c>
      <c r="E22" s="16" t="s">
        <v>18</v>
      </c>
      <c r="F22" s="35" t="s">
        <v>18</v>
      </c>
      <c r="I22" t="s">
        <v>21</v>
      </c>
      <c r="J22" t="s">
        <v>22</v>
      </c>
      <c r="L22" s="4">
        <v>43672</v>
      </c>
      <c r="N22" s="4" t="str">
        <f t="shared" si="0"/>
        <v>N</v>
      </c>
      <c r="AB22" s="11" t="str">
        <f t="shared" si="1"/>
        <v>N</v>
      </c>
      <c r="AC22" s="12" t="str">
        <f t="shared" si="2"/>
        <v>N</v>
      </c>
      <c r="AD22" s="12">
        <f t="shared" ca="1" si="3"/>
        <v>0</v>
      </c>
    </row>
    <row r="23" spans="1:32" hidden="1" x14ac:dyDescent="0.2">
      <c r="A23" t="s">
        <v>77</v>
      </c>
      <c r="D23" s="3" t="s">
        <v>79</v>
      </c>
      <c r="E23" s="16" t="s">
        <v>78</v>
      </c>
      <c r="F23" s="36" t="s">
        <v>18</v>
      </c>
      <c r="J23" t="s">
        <v>22</v>
      </c>
      <c r="L23" s="4">
        <v>43672</v>
      </c>
      <c r="N23" s="4" t="str">
        <f t="shared" si="0"/>
        <v>N</v>
      </c>
      <c r="AB23" s="11" t="str">
        <f t="shared" si="1"/>
        <v>N</v>
      </c>
      <c r="AC23" s="12" t="str">
        <f t="shared" si="2"/>
        <v>N</v>
      </c>
      <c r="AD23" s="12">
        <f t="shared" ca="1" si="3"/>
        <v>0</v>
      </c>
    </row>
    <row r="24" spans="1:32" hidden="1" x14ac:dyDescent="0.2">
      <c r="A24" t="s">
        <v>80</v>
      </c>
      <c r="D24" s="3" t="s">
        <v>81</v>
      </c>
      <c r="E24" s="16">
        <v>7328560626</v>
      </c>
      <c r="F24" s="35">
        <v>2</v>
      </c>
      <c r="G24" s="11" t="s">
        <v>23</v>
      </c>
      <c r="H24" s="11"/>
      <c r="I24" t="s">
        <v>32</v>
      </c>
      <c r="J24" t="s">
        <v>94</v>
      </c>
      <c r="L24" s="4">
        <v>43672</v>
      </c>
      <c r="M24" s="4">
        <v>43673</v>
      </c>
      <c r="N24" s="4" t="str">
        <f t="shared" si="0"/>
        <v>Y</v>
      </c>
      <c r="O24">
        <v>29</v>
      </c>
      <c r="P24" s="25">
        <v>6</v>
      </c>
      <c r="Q24" s="25">
        <v>3</v>
      </c>
      <c r="R24">
        <v>7</v>
      </c>
      <c r="S24" t="s">
        <v>14</v>
      </c>
      <c r="T24" t="s">
        <v>44</v>
      </c>
      <c r="W24" s="4">
        <v>43683</v>
      </c>
      <c r="AB24" s="11" t="str">
        <f t="shared" si="1"/>
        <v>Y</v>
      </c>
      <c r="AC24" s="12" t="str">
        <f t="shared" si="2"/>
        <v>N</v>
      </c>
      <c r="AD24" s="12">
        <f t="shared" ca="1" si="3"/>
        <v>0</v>
      </c>
    </row>
    <row r="25" spans="1:32" hidden="1" x14ac:dyDescent="0.2">
      <c r="A25" t="s">
        <v>108</v>
      </c>
      <c r="D25" s="10" t="s">
        <v>109</v>
      </c>
      <c r="F25" s="35" t="s">
        <v>18</v>
      </c>
      <c r="I25" t="s">
        <v>21</v>
      </c>
      <c r="J25" t="s">
        <v>22</v>
      </c>
      <c r="L25" s="4">
        <v>43676</v>
      </c>
      <c r="N25" s="4" t="str">
        <f t="shared" si="0"/>
        <v>N</v>
      </c>
      <c r="AB25" s="11" t="str">
        <f t="shared" si="1"/>
        <v>N</v>
      </c>
      <c r="AC25" s="12" t="str">
        <f t="shared" si="2"/>
        <v>N</v>
      </c>
      <c r="AD25" s="12">
        <f t="shared" ca="1" si="3"/>
        <v>0</v>
      </c>
    </row>
    <row r="26" spans="1:32" hidden="1" x14ac:dyDescent="0.2">
      <c r="A26" t="str">
        <f t="shared" ref="A26:A36" si="4">_xlfn.TEXTJOIN(" ",,B26,C26)</f>
        <v>Olivia Andrews</v>
      </c>
      <c r="B26" t="s">
        <v>113</v>
      </c>
      <c r="C26" t="s">
        <v>114</v>
      </c>
      <c r="D26" t="s">
        <v>115</v>
      </c>
      <c r="E26"/>
      <c r="F26" s="35" t="s">
        <v>18</v>
      </c>
      <c r="I26" t="s">
        <v>21</v>
      </c>
      <c r="J26" t="s">
        <v>22</v>
      </c>
      <c r="L26" s="4">
        <v>43676</v>
      </c>
      <c r="N26" s="4" t="str">
        <f t="shared" si="0"/>
        <v>N</v>
      </c>
      <c r="AB26" s="11" t="str">
        <f t="shared" si="1"/>
        <v>N</v>
      </c>
      <c r="AC26" s="12" t="str">
        <f t="shared" si="2"/>
        <v>N</v>
      </c>
      <c r="AD26" s="12">
        <f t="shared" ca="1" si="3"/>
        <v>0</v>
      </c>
    </row>
    <row r="27" spans="1:32" hidden="1" x14ac:dyDescent="0.2">
      <c r="A27" t="str">
        <f t="shared" si="4"/>
        <v>Brandon Peck</v>
      </c>
      <c r="B27" t="s">
        <v>116</v>
      </c>
      <c r="C27" t="s">
        <v>117</v>
      </c>
      <c r="D27" t="s">
        <v>118</v>
      </c>
      <c r="E27"/>
      <c r="F27" s="35" t="s">
        <v>18</v>
      </c>
      <c r="I27" t="s">
        <v>21</v>
      </c>
      <c r="J27" t="s">
        <v>22</v>
      </c>
      <c r="L27" s="4">
        <v>43676</v>
      </c>
      <c r="N27" s="4" t="str">
        <f t="shared" si="0"/>
        <v>N</v>
      </c>
      <c r="AB27" s="11" t="str">
        <f t="shared" si="1"/>
        <v>N</v>
      </c>
      <c r="AC27" s="12" t="str">
        <f t="shared" si="2"/>
        <v>N</v>
      </c>
      <c r="AD27" s="12">
        <f t="shared" ca="1" si="3"/>
        <v>0</v>
      </c>
    </row>
    <row r="28" spans="1:32" hidden="1" x14ac:dyDescent="0.2">
      <c r="A28" t="str">
        <f t="shared" si="4"/>
        <v>Anika Huynh</v>
      </c>
      <c r="B28" s="30" t="s">
        <v>123</v>
      </c>
      <c r="C28" s="31" t="s">
        <v>124</v>
      </c>
      <c r="D28" s="32" t="s">
        <v>125</v>
      </c>
      <c r="E28" s="30"/>
      <c r="F28" s="35" t="s">
        <v>18</v>
      </c>
      <c r="G28" t="str" cm="1">
        <f t="array" ref="G28">IF(5&lt;=7, "SAD", IF(O5&gt;=38, AND(MasterData!P5) &gt;=12, "BPD") _xlfn.IFS(MasterData!O5 &lt;=12,  MasterData!P5 &lt;=3, MasterData!Q5 &lt;=3, "HC"))</f>
        <v>SAD</v>
      </c>
      <c r="I28" t="s">
        <v>21</v>
      </c>
      <c r="J28" t="s">
        <v>22</v>
      </c>
      <c r="L28" s="4">
        <v>43676</v>
      </c>
      <c r="N28" s="4" t="str">
        <f t="shared" si="0"/>
        <v>N</v>
      </c>
      <c r="W28" s="4"/>
      <c r="AB28" s="11"/>
      <c r="AC28" s="12"/>
      <c r="AD28" s="12">
        <f t="shared" ca="1" si="3"/>
        <v>0</v>
      </c>
    </row>
    <row r="29" spans="1:32" hidden="1" x14ac:dyDescent="0.2">
      <c r="A29" t="str">
        <f t="shared" si="4"/>
        <v>Kasey Engle</v>
      </c>
      <c r="B29" s="30" t="s">
        <v>126</v>
      </c>
      <c r="C29" s="31" t="s">
        <v>127</v>
      </c>
      <c r="D29" s="32" t="s">
        <v>128</v>
      </c>
      <c r="E29" s="30"/>
      <c r="F29" s="35" t="s">
        <v>18</v>
      </c>
      <c r="G29" s="11" t="s">
        <v>49</v>
      </c>
      <c r="H29" s="11"/>
      <c r="I29" t="s">
        <v>21</v>
      </c>
      <c r="J29" t="s">
        <v>22</v>
      </c>
      <c r="L29" s="4">
        <v>43676</v>
      </c>
      <c r="M29" s="4">
        <v>43676</v>
      </c>
      <c r="N29" s="4" t="str">
        <f t="shared" si="0"/>
        <v>Y</v>
      </c>
      <c r="O29">
        <v>19</v>
      </c>
      <c r="P29" s="25">
        <v>6</v>
      </c>
      <c r="Q29" s="25">
        <v>1</v>
      </c>
      <c r="R29">
        <v>2</v>
      </c>
      <c r="S29" t="s">
        <v>48</v>
      </c>
      <c r="T29" t="s">
        <v>44</v>
      </c>
      <c r="U29">
        <v>1</v>
      </c>
      <c r="V29">
        <v>0</v>
      </c>
      <c r="AD29" s="12">
        <f t="shared" ca="1" si="3"/>
        <v>0</v>
      </c>
    </row>
    <row r="30" spans="1:32" hidden="1" x14ac:dyDescent="0.2">
      <c r="A30" t="str">
        <f t="shared" si="4"/>
        <v>Bryce Burgess</v>
      </c>
      <c r="B30" s="31" t="s">
        <v>129</v>
      </c>
      <c r="C30" s="30" t="s">
        <v>130</v>
      </c>
      <c r="D30" s="32" t="s">
        <v>131</v>
      </c>
      <c r="E30" s="30"/>
      <c r="F30" s="35" t="s">
        <v>18</v>
      </c>
      <c r="I30" t="s">
        <v>21</v>
      </c>
      <c r="J30" t="s">
        <v>22</v>
      </c>
      <c r="L30" s="4">
        <v>43676</v>
      </c>
      <c r="N30" s="4" t="str">
        <f t="shared" si="0"/>
        <v>N</v>
      </c>
      <c r="AD30" s="12">
        <f t="shared" ca="1" si="3"/>
        <v>0</v>
      </c>
    </row>
    <row r="31" spans="1:32" hidden="1" x14ac:dyDescent="0.2">
      <c r="A31" t="str">
        <f t="shared" si="4"/>
        <v>Taylor Berardi</v>
      </c>
      <c r="B31" s="31" t="s">
        <v>132</v>
      </c>
      <c r="C31" s="31" t="s">
        <v>133</v>
      </c>
      <c r="D31" s="33" t="s">
        <v>134</v>
      </c>
      <c r="E31" s="30"/>
      <c r="F31" s="35" t="s">
        <v>18</v>
      </c>
      <c r="G31" t="s">
        <v>23</v>
      </c>
      <c r="H31" t="s">
        <v>156</v>
      </c>
      <c r="I31" t="s">
        <v>21</v>
      </c>
      <c r="J31" t="s">
        <v>43</v>
      </c>
      <c r="L31" s="4">
        <v>43676</v>
      </c>
      <c r="M31" s="4">
        <v>43676</v>
      </c>
      <c r="N31" s="4" t="str">
        <f t="shared" si="0"/>
        <v>Y</v>
      </c>
      <c r="O31">
        <v>20</v>
      </c>
      <c r="P31" s="25">
        <v>4</v>
      </c>
      <c r="R31">
        <v>0</v>
      </c>
      <c r="S31" t="s">
        <v>48</v>
      </c>
      <c r="T31" t="s">
        <v>44</v>
      </c>
      <c r="U31">
        <v>1</v>
      </c>
      <c r="V31">
        <v>0</v>
      </c>
      <c r="W31" s="4">
        <v>43677</v>
      </c>
      <c r="AD31" s="12">
        <f t="shared" ca="1" si="3"/>
        <v>1</v>
      </c>
    </row>
    <row r="32" spans="1:32" hidden="1" x14ac:dyDescent="0.2">
      <c r="A32" t="str">
        <f t="shared" si="4"/>
        <v>Rebecca Stroschein</v>
      </c>
      <c r="B32" s="31" t="s">
        <v>135</v>
      </c>
      <c r="C32" s="31" t="s">
        <v>136</v>
      </c>
      <c r="D32" s="32" t="s">
        <v>137</v>
      </c>
      <c r="E32" s="30"/>
      <c r="F32" s="35" t="s">
        <v>18</v>
      </c>
      <c r="G32" t="s">
        <v>27</v>
      </c>
      <c r="I32" t="s">
        <v>21</v>
      </c>
      <c r="J32" t="s">
        <v>94</v>
      </c>
      <c r="L32" s="4">
        <v>43676</v>
      </c>
      <c r="M32" s="4">
        <v>43676</v>
      </c>
      <c r="N32" s="4" t="str">
        <f t="shared" si="0"/>
        <v>Y</v>
      </c>
      <c r="O32">
        <v>11</v>
      </c>
      <c r="P32" s="25">
        <v>2</v>
      </c>
      <c r="Q32" s="25">
        <v>0</v>
      </c>
      <c r="R32">
        <v>3</v>
      </c>
      <c r="S32" t="s">
        <v>14</v>
      </c>
      <c r="T32" t="s">
        <v>44</v>
      </c>
      <c r="AD32" s="12">
        <f t="shared" ca="1" si="3"/>
        <v>0</v>
      </c>
    </row>
    <row r="33" spans="1:30" hidden="1" x14ac:dyDescent="0.2">
      <c r="A33" t="str">
        <f t="shared" si="4"/>
        <v>Jenna Wasarhelyi </v>
      </c>
      <c r="B33" s="31" t="s">
        <v>138</v>
      </c>
      <c r="C33" s="31" t="s">
        <v>139</v>
      </c>
      <c r="D33" s="32" t="s">
        <v>140</v>
      </c>
      <c r="E33" s="30"/>
      <c r="F33" s="35" t="s">
        <v>18</v>
      </c>
      <c r="I33" t="s">
        <v>21</v>
      </c>
      <c r="J33" t="s">
        <v>22</v>
      </c>
      <c r="L33" s="4">
        <v>43676</v>
      </c>
      <c r="N33" s="4" t="str">
        <f t="shared" si="0"/>
        <v>N</v>
      </c>
      <c r="AD33" s="12">
        <f t="shared" ca="1" si="3"/>
        <v>0</v>
      </c>
    </row>
    <row r="34" spans="1:30" hidden="1" x14ac:dyDescent="0.2">
      <c r="A34" t="str">
        <f t="shared" si="4"/>
        <v>Amber Herren </v>
      </c>
      <c r="B34" s="31" t="s">
        <v>141</v>
      </c>
      <c r="C34" s="31" t="s">
        <v>142</v>
      </c>
      <c r="D34" s="32" t="s">
        <v>143</v>
      </c>
      <c r="E34" s="30"/>
      <c r="F34" s="35" t="s">
        <v>18</v>
      </c>
      <c r="I34" t="s">
        <v>21</v>
      </c>
      <c r="J34" t="s">
        <v>22</v>
      </c>
      <c r="L34" s="4">
        <v>43676</v>
      </c>
      <c r="N34" s="4" t="str">
        <f t="shared" si="0"/>
        <v>N</v>
      </c>
      <c r="AD34" s="12">
        <f t="shared" ca="1" si="3"/>
        <v>0</v>
      </c>
    </row>
    <row r="35" spans="1:30" hidden="1" x14ac:dyDescent="0.2">
      <c r="A35" t="str">
        <f t="shared" si="4"/>
        <v/>
      </c>
      <c r="AD35" s="12">
        <f t="shared" ca="1" si="3"/>
        <v>0</v>
      </c>
    </row>
    <row r="36" spans="1:30" hidden="1" x14ac:dyDescent="0.2">
      <c r="A36" t="str">
        <f t="shared" si="4"/>
        <v/>
      </c>
      <c r="AD36" s="12">
        <f t="shared" ca="1" si="3"/>
        <v>0</v>
      </c>
    </row>
    <row r="37" spans="1:30" x14ac:dyDescent="0.2">
      <c r="A37" t="s">
        <v>157</v>
      </c>
      <c r="G37" t="s">
        <v>15</v>
      </c>
      <c r="H37" t="s">
        <v>154</v>
      </c>
      <c r="J37" t="s">
        <v>94</v>
      </c>
      <c r="L37" s="4">
        <v>43471</v>
      </c>
      <c r="M37" s="4">
        <v>43502</v>
      </c>
      <c r="S37" t="s">
        <v>14</v>
      </c>
      <c r="W37" s="4">
        <v>43684</v>
      </c>
      <c r="AD37">
        <v>1</v>
      </c>
    </row>
  </sheetData>
  <autoFilter ref="A1:AM36" xr:uid="{A466D2FA-7A48-FE4F-A68C-57F5C7245A52}">
    <filterColumn colId="6">
      <filters>
        <filter val="BPD"/>
      </filters>
    </filterColumn>
    <filterColumn colId="9">
      <customFilters>
        <customFilter operator="notEqual" val=" "/>
      </customFilters>
    </filterColumn>
  </autoFilter>
  <sortState xmlns:xlrd2="http://schemas.microsoft.com/office/spreadsheetml/2017/richdata2" ref="A2:AF32">
    <sortCondition ref="N2"/>
  </sortState>
  <hyperlinks>
    <hyperlink ref="D11" r:id="rId1" xr:uid="{88AE970A-D107-184B-8859-A936FEBE15FF}"/>
    <hyperlink ref="D12" r:id="rId2" xr:uid="{B32575B2-FC52-7745-98D2-1D9E6F5AEAD0}"/>
    <hyperlink ref="D13" r:id="rId3" xr:uid="{065B6C36-E422-AC46-BBF9-B682E6AC1F06}"/>
    <hyperlink ref="D15" r:id="rId4" xr:uid="{4CDEEFBD-5FC6-3540-9924-B5F35F10E23B}"/>
    <hyperlink ref="D14" r:id="rId5" xr:uid="{6A4B7E7D-0789-A04A-A10D-69DB4AEC2D07}"/>
    <hyperlink ref="D16" r:id="rId6" xr:uid="{8EBCFF37-5A37-8544-83E6-AF62AFCFA78A}"/>
    <hyperlink ref="D17" r:id="rId7" xr:uid="{B8D5591F-D5EA-E84D-B640-3243282030FC}"/>
    <hyperlink ref="D3" r:id="rId8" xr:uid="{16FCCCA4-E004-5640-AE0A-8D4B672C2E47}"/>
    <hyperlink ref="D4" r:id="rId9" xr:uid="{A7FF6E90-F445-944A-86B9-5C9B39F756B3}"/>
    <hyperlink ref="D5" r:id="rId10" xr:uid="{BF867F10-39A8-4D46-AF39-85A425F42C90}"/>
    <hyperlink ref="D6" r:id="rId11" xr:uid="{3ABF3EF4-1A90-4F41-B604-52581E10F713}"/>
    <hyperlink ref="D7" r:id="rId12" xr:uid="{D81B90E0-62B8-EC42-AD08-C237F8A24DAA}"/>
    <hyperlink ref="D18" r:id="rId13" xr:uid="{A8400577-3B3D-BA47-BF7B-69FED34999C6}"/>
    <hyperlink ref="D8" r:id="rId14" xr:uid="{B72C1F54-39C0-FE4E-9D4D-1BEEF9A036D5}"/>
    <hyperlink ref="D19" r:id="rId15" xr:uid="{97026926-8F55-084C-AF79-3179F5387044}"/>
    <hyperlink ref="D9" r:id="rId16" xr:uid="{CFD47A92-257D-E44C-B4E4-4D8D181A9DA6}"/>
    <hyperlink ref="D20" r:id="rId17" xr:uid="{5A0BD6B2-66EF-F34A-948E-3CBE9BFAC453}"/>
    <hyperlink ref="D10" r:id="rId18" xr:uid="{5F9EAD40-C092-0A40-91CC-51F72BC667CC}"/>
    <hyperlink ref="D21" r:id="rId19" xr:uid="{470C35B9-85A6-0341-83AB-DC24F0E35264}"/>
    <hyperlink ref="D22" r:id="rId20" display="mailto:Austinpeiffer10818@gmail.com" xr:uid="{B75AD3D4-B878-9145-B534-3E5B6EC324B6}"/>
    <hyperlink ref="D23" r:id="rId21" xr:uid="{9D68F0E6-4E4B-114D-9395-376FC746DDEB}"/>
    <hyperlink ref="D24" r:id="rId22" xr:uid="{52E98F6C-0B17-FC42-91CA-FF4F062BD2CB}"/>
    <hyperlink ref="D2" r:id="rId23" xr:uid="{07C8D9E1-49D5-0F46-B6CB-19F6460B3C8E}"/>
    <hyperlink ref="D30" r:id="rId24" display="mailto:bburgess22@icloud.com" xr:uid="{DAF5A38C-4C01-924E-80E7-E2C8CFFEA84D}"/>
    <hyperlink ref="D29" r:id="rId25" display="mailto:Kte22@psu.edu" xr:uid="{635B494F-6D8B-E24E-A20A-BB49343E93E2}"/>
    <hyperlink ref="D28" r:id="rId26" xr:uid="{E373C245-A126-D54A-B3DF-7E999DC4BF37}"/>
    <hyperlink ref="D32" r:id="rId27" display="mailto:Bstro111@gmail.com" xr:uid="{41117188-8BDA-0048-BD03-32E2D856956F}"/>
    <hyperlink ref="D34" r:id="rId28" display="mailto:Herren12370@yahoo.com" xr:uid="{2FF132FB-19EB-694D-A323-198E855B5976}"/>
    <hyperlink ref="D33" r:id="rId29" xr:uid="{77C94A90-BA0E-D349-BE83-8B5A2FCC4FAE}"/>
  </hyperlink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5219-9123-1E4F-8F11-67FB54F8F0DC}">
  <sheetPr codeName="Sheet2"/>
  <dimension ref="A1:D12"/>
  <sheetViews>
    <sheetView workbookViewId="0">
      <selection activeCell="A13" sqref="A13"/>
    </sheetView>
  </sheetViews>
  <sheetFormatPr baseColWidth="10" defaultRowHeight="16" x14ac:dyDescent="0.2"/>
  <cols>
    <col min="1" max="1" width="18.5" customWidth="1"/>
  </cols>
  <sheetData>
    <row r="1" spans="1:4" x14ac:dyDescent="0.2">
      <c r="A1" s="1" t="s">
        <v>12</v>
      </c>
      <c r="B1" s="1" t="s">
        <v>6</v>
      </c>
      <c r="C1" s="1" t="s">
        <v>7</v>
      </c>
      <c r="D1" s="1" t="s">
        <v>8</v>
      </c>
    </row>
    <row r="2" spans="1:4" x14ac:dyDescent="0.2">
      <c r="A2" t="s">
        <v>15</v>
      </c>
      <c r="B2" t="s">
        <v>16</v>
      </c>
      <c r="C2" t="s">
        <v>17</v>
      </c>
      <c r="D2" t="s">
        <v>18</v>
      </c>
    </row>
    <row r="3" spans="1:4" x14ac:dyDescent="0.2">
      <c r="A3" t="s">
        <v>23</v>
      </c>
      <c r="B3" t="s">
        <v>18</v>
      </c>
      <c r="C3" t="s">
        <v>18</v>
      </c>
      <c r="D3" t="s">
        <v>24</v>
      </c>
    </row>
    <row r="4" spans="1:4" x14ac:dyDescent="0.2">
      <c r="A4" t="s">
        <v>27</v>
      </c>
      <c r="B4" t="s">
        <v>28</v>
      </c>
      <c r="C4" t="s">
        <v>29</v>
      </c>
      <c r="D4" t="s">
        <v>29</v>
      </c>
    </row>
    <row r="12" spans="1:4" x14ac:dyDescent="0.2">
      <c r="A12" t="s">
        <v>122</v>
      </c>
      <c r="B12" s="4">
        <f ca="1">TODAY()</f>
        <v>43679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C6D5F-2DFF-BC4C-A3A5-1195B076BFFC}">
  <sheetPr codeName="Sheet3"/>
  <dimension ref="A1:J57"/>
  <sheetViews>
    <sheetView topLeftCell="B1" workbookViewId="0">
      <selection activeCell="E2" sqref="E2"/>
    </sheetView>
  </sheetViews>
  <sheetFormatPr baseColWidth="10" defaultRowHeight="16" x14ac:dyDescent="0.2"/>
  <cols>
    <col min="1" max="1" width="9.83203125" customWidth="1"/>
    <col min="2" max="2" width="14.33203125" bestFit="1" customWidth="1"/>
    <col min="3" max="3" width="12.33203125" style="18" customWidth="1"/>
    <col min="4" max="4" width="18.83203125" style="4" customWidth="1"/>
    <col min="5" max="5" width="19.83203125" customWidth="1"/>
    <col min="6" max="6" width="18.83203125" customWidth="1"/>
    <col min="7" max="7" width="22.33203125" customWidth="1"/>
    <col min="8" max="8" width="19" customWidth="1"/>
    <col min="9" max="10" width="9.5" bestFit="1" customWidth="1"/>
    <col min="11" max="11" width="26" bestFit="1" customWidth="1"/>
    <col min="12" max="12" width="29.33203125" bestFit="1" customWidth="1"/>
    <col min="13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10" x14ac:dyDescent="0.2">
      <c r="C1"/>
    </row>
    <row r="2" spans="1:10" ht="17" x14ac:dyDescent="0.2">
      <c r="A2" s="20" t="s">
        <v>110</v>
      </c>
      <c r="B2" t="s">
        <v>85</v>
      </c>
      <c r="C2"/>
    </row>
    <row r="3" spans="1:10" x14ac:dyDescent="0.2">
      <c r="C3"/>
      <c r="D3"/>
    </row>
    <row r="4" spans="1:10" x14ac:dyDescent="0.2">
      <c r="A4" s="8" t="s">
        <v>91</v>
      </c>
      <c r="B4" s="8" t="s">
        <v>0</v>
      </c>
      <c r="C4" s="19" t="s">
        <v>1</v>
      </c>
      <c r="D4" s="8" t="s">
        <v>2</v>
      </c>
      <c r="E4" s="8" t="s">
        <v>5</v>
      </c>
      <c r="F4" s="8" t="s">
        <v>4</v>
      </c>
      <c r="G4" s="8" t="s">
        <v>95</v>
      </c>
      <c r="H4" s="8" t="s">
        <v>101</v>
      </c>
      <c r="I4" s="8" t="s">
        <v>98</v>
      </c>
      <c r="J4" s="8" t="s">
        <v>99</v>
      </c>
    </row>
    <row r="5" spans="1:10" x14ac:dyDescent="0.2">
      <c r="A5" t="s">
        <v>18</v>
      </c>
      <c r="B5" t="s">
        <v>55</v>
      </c>
      <c r="C5">
        <v>8143860862</v>
      </c>
      <c r="D5" t="s">
        <v>56</v>
      </c>
      <c r="E5" t="s">
        <v>15</v>
      </c>
      <c r="F5" t="s">
        <v>43</v>
      </c>
      <c r="G5" t="s">
        <v>48</v>
      </c>
      <c r="H5">
        <v>36</v>
      </c>
      <c r="I5">
        <v>7</v>
      </c>
      <c r="J5">
        <v>7</v>
      </c>
    </row>
    <row r="6" spans="1:10" x14ac:dyDescent="0.2">
      <c r="A6" t="s">
        <v>18</v>
      </c>
      <c r="B6" t="s">
        <v>41</v>
      </c>
      <c r="C6">
        <v>3013106934</v>
      </c>
      <c r="D6" t="s">
        <v>42</v>
      </c>
      <c r="E6" t="s">
        <v>23</v>
      </c>
      <c r="F6" t="s">
        <v>94</v>
      </c>
      <c r="G6" t="s">
        <v>14</v>
      </c>
      <c r="H6">
        <v>24</v>
      </c>
      <c r="I6">
        <v>8</v>
      </c>
      <c r="J6">
        <v>0</v>
      </c>
    </row>
    <row r="7" spans="1:10" x14ac:dyDescent="0.2">
      <c r="A7" t="s">
        <v>18</v>
      </c>
      <c r="B7" t="s">
        <v>53</v>
      </c>
      <c r="C7">
        <v>5635470125</v>
      </c>
      <c r="D7" t="s">
        <v>54</v>
      </c>
      <c r="E7" t="s">
        <v>23</v>
      </c>
      <c r="F7" t="s">
        <v>43</v>
      </c>
      <c r="G7" t="s">
        <v>48</v>
      </c>
      <c r="H7">
        <v>17</v>
      </c>
      <c r="I7">
        <v>2</v>
      </c>
      <c r="J7">
        <v>3</v>
      </c>
    </row>
    <row r="8" spans="1:10" x14ac:dyDescent="0.2">
      <c r="A8" t="s">
        <v>18</v>
      </c>
      <c r="B8" t="s">
        <v>63</v>
      </c>
      <c r="C8" t="s">
        <v>64</v>
      </c>
      <c r="D8" t="s">
        <v>65</v>
      </c>
      <c r="E8" t="s">
        <v>27</v>
      </c>
      <c r="F8" t="s">
        <v>43</v>
      </c>
      <c r="G8" t="s">
        <v>48</v>
      </c>
      <c r="H8">
        <v>20</v>
      </c>
      <c r="I8">
        <v>6</v>
      </c>
      <c r="J8">
        <v>3</v>
      </c>
    </row>
    <row r="9" spans="1:10" x14ac:dyDescent="0.2">
      <c r="A9" t="s">
        <v>18</v>
      </c>
      <c r="B9" t="s">
        <v>45</v>
      </c>
      <c r="C9" t="s">
        <v>46</v>
      </c>
      <c r="D9" t="s">
        <v>47</v>
      </c>
      <c r="E9" t="s">
        <v>23</v>
      </c>
      <c r="F9" t="s">
        <v>43</v>
      </c>
      <c r="G9" t="s">
        <v>48</v>
      </c>
      <c r="H9">
        <v>14</v>
      </c>
      <c r="I9">
        <v>5</v>
      </c>
      <c r="J9">
        <v>1</v>
      </c>
    </row>
    <row r="10" spans="1:10" x14ac:dyDescent="0.2">
      <c r="A10" t="s">
        <v>18</v>
      </c>
      <c r="B10" t="s">
        <v>59</v>
      </c>
      <c r="C10" t="s">
        <v>18</v>
      </c>
      <c r="D10" t="s">
        <v>60</v>
      </c>
      <c r="E10" t="s">
        <v>15</v>
      </c>
      <c r="F10" t="s">
        <v>43</v>
      </c>
      <c r="G10" t="s">
        <v>48</v>
      </c>
      <c r="H10">
        <v>14</v>
      </c>
      <c r="I10">
        <v>4</v>
      </c>
      <c r="J10">
        <v>3</v>
      </c>
    </row>
    <row r="11" spans="1:10" x14ac:dyDescent="0.2">
      <c r="A11" t="s">
        <v>18</v>
      </c>
      <c r="B11" t="s">
        <v>70</v>
      </c>
      <c r="C11">
        <v>7166018408</v>
      </c>
      <c r="D11" t="s">
        <v>71</v>
      </c>
      <c r="E11" t="s">
        <v>27</v>
      </c>
      <c r="F11" t="s">
        <v>94</v>
      </c>
      <c r="G11" t="s">
        <v>14</v>
      </c>
      <c r="H11">
        <v>7</v>
      </c>
      <c r="I11">
        <v>1</v>
      </c>
      <c r="J11">
        <v>0</v>
      </c>
    </row>
    <row r="12" spans="1:10" x14ac:dyDescent="0.2">
      <c r="A12" t="s">
        <v>18</v>
      </c>
      <c r="B12" t="s">
        <v>61</v>
      </c>
      <c r="C12">
        <v>8142373315</v>
      </c>
      <c r="D12" t="s">
        <v>62</v>
      </c>
      <c r="E12" t="s">
        <v>27</v>
      </c>
      <c r="F12" t="s">
        <v>43</v>
      </c>
      <c r="G12" t="s">
        <v>48</v>
      </c>
      <c r="H12">
        <v>35</v>
      </c>
      <c r="I12">
        <v>12</v>
      </c>
      <c r="J12">
        <v>5</v>
      </c>
    </row>
    <row r="13" spans="1:10" x14ac:dyDescent="0.2">
      <c r="A13" t="s">
        <v>18</v>
      </c>
      <c r="B13" t="s">
        <v>144</v>
      </c>
      <c r="C13" t="s">
        <v>82</v>
      </c>
      <c r="D13" t="s">
        <v>128</v>
      </c>
      <c r="E13" t="s">
        <v>49</v>
      </c>
      <c r="F13" t="s">
        <v>22</v>
      </c>
      <c r="G13" t="s">
        <v>48</v>
      </c>
      <c r="H13">
        <v>19</v>
      </c>
      <c r="I13">
        <v>6</v>
      </c>
      <c r="J13">
        <v>1</v>
      </c>
    </row>
    <row r="14" spans="1:10" x14ac:dyDescent="0.2">
      <c r="A14" t="s">
        <v>18</v>
      </c>
      <c r="B14" t="s">
        <v>146</v>
      </c>
      <c r="C14" t="s">
        <v>82</v>
      </c>
      <c r="D14" t="s">
        <v>134</v>
      </c>
      <c r="E14" t="s">
        <v>23</v>
      </c>
      <c r="F14" t="s">
        <v>43</v>
      </c>
      <c r="G14" t="s">
        <v>48</v>
      </c>
      <c r="H14">
        <v>20</v>
      </c>
      <c r="I14">
        <v>4</v>
      </c>
      <c r="J14" t="s">
        <v>82</v>
      </c>
    </row>
    <row r="15" spans="1:10" x14ac:dyDescent="0.2">
      <c r="A15" t="s">
        <v>18</v>
      </c>
      <c r="B15" t="s">
        <v>147</v>
      </c>
      <c r="C15" t="s">
        <v>82</v>
      </c>
      <c r="D15" t="s">
        <v>137</v>
      </c>
      <c r="E15" t="s">
        <v>27</v>
      </c>
      <c r="F15" t="s">
        <v>94</v>
      </c>
      <c r="G15" t="s">
        <v>14</v>
      </c>
      <c r="H15">
        <v>11</v>
      </c>
      <c r="I15">
        <v>2</v>
      </c>
      <c r="J15">
        <v>0</v>
      </c>
    </row>
    <row r="16" spans="1:10" x14ac:dyDescent="0.2">
      <c r="A16">
        <v>1</v>
      </c>
      <c r="B16" t="s">
        <v>50</v>
      </c>
      <c r="C16" t="s">
        <v>51</v>
      </c>
      <c r="D16" t="s">
        <v>52</v>
      </c>
      <c r="E16" t="s">
        <v>23</v>
      </c>
      <c r="F16" t="s">
        <v>94</v>
      </c>
      <c r="G16" t="s">
        <v>14</v>
      </c>
      <c r="H16">
        <v>46</v>
      </c>
      <c r="I16">
        <v>6</v>
      </c>
      <c r="J16">
        <v>11</v>
      </c>
    </row>
    <row r="17" spans="1:10" x14ac:dyDescent="0.2">
      <c r="A17">
        <v>2</v>
      </c>
      <c r="B17" t="s">
        <v>80</v>
      </c>
      <c r="C17">
        <v>7328560626</v>
      </c>
      <c r="D17" t="s">
        <v>81</v>
      </c>
      <c r="E17" t="s">
        <v>23</v>
      </c>
      <c r="F17" t="s">
        <v>94</v>
      </c>
      <c r="G17" t="s">
        <v>14</v>
      </c>
      <c r="H17">
        <v>29</v>
      </c>
      <c r="I17">
        <v>6</v>
      </c>
      <c r="J17">
        <v>3</v>
      </c>
    </row>
    <row r="18" spans="1:10" x14ac:dyDescent="0.2">
      <c r="C18"/>
      <c r="D18"/>
    </row>
    <row r="19" spans="1:10" x14ac:dyDescent="0.2">
      <c r="C19"/>
      <c r="D19"/>
    </row>
    <row r="20" spans="1:10" x14ac:dyDescent="0.2">
      <c r="C20"/>
      <c r="D20"/>
    </row>
    <row r="21" spans="1:10" x14ac:dyDescent="0.2">
      <c r="C21"/>
      <c r="D21"/>
    </row>
    <row r="22" spans="1:10" x14ac:dyDescent="0.2">
      <c r="C22"/>
      <c r="D22"/>
    </row>
    <row r="23" spans="1:10" x14ac:dyDescent="0.2">
      <c r="C23"/>
      <c r="D23"/>
    </row>
    <row r="24" spans="1:10" x14ac:dyDescent="0.2">
      <c r="C24"/>
      <c r="D24"/>
    </row>
    <row r="25" spans="1:10" x14ac:dyDescent="0.2">
      <c r="C25"/>
      <c r="D25"/>
    </row>
    <row r="26" spans="1:10" x14ac:dyDescent="0.2">
      <c r="C26"/>
      <c r="D26"/>
    </row>
    <row r="27" spans="1:10" x14ac:dyDescent="0.2">
      <c r="C27"/>
      <c r="D27"/>
    </row>
    <row r="28" spans="1:10" x14ac:dyDescent="0.2">
      <c r="C28"/>
      <c r="D28"/>
    </row>
    <row r="29" spans="1:10" x14ac:dyDescent="0.2">
      <c r="C29"/>
      <c r="D29"/>
    </row>
    <row r="30" spans="1:10" x14ac:dyDescent="0.2">
      <c r="C30"/>
      <c r="D30"/>
    </row>
    <row r="31" spans="1:10" x14ac:dyDescent="0.2">
      <c r="C31"/>
      <c r="D31"/>
    </row>
    <row r="32" spans="1:10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6DBD-6875-5847-A468-9DD11AD0A2CD}">
  <sheetPr codeName="Sheet4"/>
  <dimension ref="A5:I57"/>
  <sheetViews>
    <sheetView workbookViewId="0">
      <selection activeCell="A7" sqref="A7"/>
    </sheetView>
  </sheetViews>
  <sheetFormatPr baseColWidth="10" defaultRowHeight="16" x14ac:dyDescent="0.2"/>
  <cols>
    <col min="1" max="1" width="19.1640625" bestFit="1" customWidth="1"/>
    <col min="2" max="2" width="25.83203125" customWidth="1"/>
    <col min="3" max="3" width="19.33203125" style="18" customWidth="1"/>
    <col min="4" max="4" width="22.33203125" style="4" customWidth="1"/>
    <col min="5" max="9" width="14.16406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5" spans="1:9" x14ac:dyDescent="0.2">
      <c r="A5" s="8" t="s">
        <v>102</v>
      </c>
      <c r="B5" t="s">
        <v>85</v>
      </c>
    </row>
    <row r="6" spans="1:9" x14ac:dyDescent="0.2">
      <c r="A6" s="8" t="s">
        <v>121</v>
      </c>
      <c r="B6" t="s">
        <v>86</v>
      </c>
    </row>
    <row r="7" spans="1:9" x14ac:dyDescent="0.2">
      <c r="A7" s="8" t="s">
        <v>95</v>
      </c>
      <c r="B7" t="s">
        <v>14</v>
      </c>
    </row>
    <row r="8" spans="1:9" x14ac:dyDescent="0.2">
      <c r="D8"/>
    </row>
    <row r="9" spans="1:9" x14ac:dyDescent="0.2">
      <c r="A9" s="8" t="s">
        <v>0</v>
      </c>
      <c r="B9" s="8" t="s">
        <v>2</v>
      </c>
      <c r="C9" s="19" t="s">
        <v>1</v>
      </c>
      <c r="D9" s="8" t="s">
        <v>4</v>
      </c>
      <c r="E9" s="8" t="s">
        <v>5</v>
      </c>
      <c r="F9" s="8" t="s">
        <v>103</v>
      </c>
      <c r="G9" s="8" t="s">
        <v>104</v>
      </c>
      <c r="H9" s="8" t="s">
        <v>105</v>
      </c>
      <c r="I9" s="8" t="s">
        <v>106</v>
      </c>
    </row>
    <row r="10" spans="1:9" x14ac:dyDescent="0.2">
      <c r="A10" t="s">
        <v>41</v>
      </c>
      <c r="B10" t="s">
        <v>42</v>
      </c>
      <c r="C10">
        <v>3013106934</v>
      </c>
      <c r="D10" t="s">
        <v>94</v>
      </c>
      <c r="E10" t="s">
        <v>23</v>
      </c>
      <c r="F10" t="s">
        <v>82</v>
      </c>
      <c r="G10" t="s">
        <v>82</v>
      </c>
      <c r="H10" t="s">
        <v>82</v>
      </c>
      <c r="I10" t="s">
        <v>82</v>
      </c>
    </row>
    <row r="11" spans="1:9" x14ac:dyDescent="0.2">
      <c r="A11" t="s">
        <v>70</v>
      </c>
      <c r="B11" t="s">
        <v>71</v>
      </c>
      <c r="C11">
        <v>7166018408</v>
      </c>
      <c r="D11" t="s">
        <v>94</v>
      </c>
      <c r="E11" t="s">
        <v>27</v>
      </c>
      <c r="F11" t="s">
        <v>82</v>
      </c>
      <c r="G11" t="s">
        <v>82</v>
      </c>
      <c r="H11" t="s">
        <v>82</v>
      </c>
      <c r="I11" t="s">
        <v>82</v>
      </c>
    </row>
    <row r="12" spans="1:9" x14ac:dyDescent="0.2">
      <c r="C12"/>
      <c r="D12"/>
    </row>
    <row r="13" spans="1:9" x14ac:dyDescent="0.2">
      <c r="C13"/>
      <c r="D13"/>
    </row>
    <row r="14" spans="1:9" x14ac:dyDescent="0.2">
      <c r="C14"/>
      <c r="D14"/>
    </row>
    <row r="15" spans="1:9" x14ac:dyDescent="0.2">
      <c r="C15"/>
      <c r="D15"/>
    </row>
    <row r="16" spans="1:9" x14ac:dyDescent="0.2">
      <c r="C16"/>
      <c r="D16"/>
    </row>
    <row r="17" spans="3:4" x14ac:dyDescent="0.2">
      <c r="C17"/>
      <c r="D17"/>
    </row>
    <row r="18" spans="3:4" x14ac:dyDescent="0.2">
      <c r="C18"/>
      <c r="D18"/>
    </row>
    <row r="19" spans="3:4" x14ac:dyDescent="0.2">
      <c r="C19"/>
      <c r="D19"/>
    </row>
    <row r="20" spans="3:4" x14ac:dyDescent="0.2">
      <c r="C20"/>
      <c r="D20"/>
    </row>
    <row r="21" spans="3:4" x14ac:dyDescent="0.2">
      <c r="C21"/>
      <c r="D21"/>
    </row>
    <row r="22" spans="3:4" x14ac:dyDescent="0.2">
      <c r="C22"/>
      <c r="D22"/>
    </row>
    <row r="23" spans="3:4" x14ac:dyDescent="0.2">
      <c r="C23"/>
      <c r="D23"/>
    </row>
    <row r="24" spans="3:4" x14ac:dyDescent="0.2">
      <c r="C24"/>
      <c r="D24"/>
    </row>
    <row r="25" spans="3:4" x14ac:dyDescent="0.2">
      <c r="C25"/>
      <c r="D25"/>
    </row>
    <row r="26" spans="3:4" x14ac:dyDescent="0.2">
      <c r="C26"/>
      <c r="D26"/>
    </row>
    <row r="27" spans="3:4" x14ac:dyDescent="0.2">
      <c r="C27"/>
      <c r="D27"/>
    </row>
    <row r="28" spans="3:4" x14ac:dyDescent="0.2">
      <c r="C28"/>
      <c r="D28"/>
    </row>
    <row r="29" spans="3:4" x14ac:dyDescent="0.2">
      <c r="C29"/>
      <c r="D29"/>
    </row>
    <row r="30" spans="3:4" x14ac:dyDescent="0.2">
      <c r="C30"/>
      <c r="D30"/>
    </row>
    <row r="31" spans="3:4" x14ac:dyDescent="0.2">
      <c r="C31"/>
      <c r="D31"/>
    </row>
    <row r="32" spans="3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7214C-7685-704B-B231-87FD7F676592}">
  <sheetPr codeName="Sheet5"/>
  <dimension ref="A1:F57"/>
  <sheetViews>
    <sheetView workbookViewId="0">
      <selection activeCell="A24" sqref="A24"/>
    </sheetView>
  </sheetViews>
  <sheetFormatPr baseColWidth="10" defaultRowHeight="16" x14ac:dyDescent="0.2"/>
  <cols>
    <col min="1" max="1" width="19.1640625" bestFit="1" customWidth="1"/>
    <col min="2" max="2" width="27.83203125" bestFit="1" customWidth="1"/>
    <col min="3" max="3" width="16.83203125" style="18" customWidth="1"/>
    <col min="4" max="4" width="24.33203125" style="4" bestFit="1" customWidth="1"/>
    <col min="5" max="5" width="22.5" style="9" customWidth="1"/>
    <col min="6" max="6" width="28.8320312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6" x14ac:dyDescent="0.2">
      <c r="A1" s="8" t="s">
        <v>102</v>
      </c>
      <c r="B1" t="s">
        <v>86</v>
      </c>
    </row>
    <row r="2" spans="1:6" x14ac:dyDescent="0.2">
      <c r="A2" s="8" t="s">
        <v>96</v>
      </c>
      <c r="B2" t="s">
        <v>83</v>
      </c>
    </row>
    <row r="3" spans="1:6" x14ac:dyDescent="0.2">
      <c r="C3"/>
      <c r="D3"/>
    </row>
    <row r="4" spans="1:6" x14ac:dyDescent="0.2">
      <c r="A4" s="8" t="s">
        <v>0</v>
      </c>
      <c r="B4" s="8" t="s">
        <v>2</v>
      </c>
      <c r="C4" s="19" t="s">
        <v>1</v>
      </c>
      <c r="D4" s="8" t="s">
        <v>4</v>
      </c>
      <c r="E4" s="17" t="s">
        <v>92</v>
      </c>
      <c r="F4" s="8" t="s">
        <v>93</v>
      </c>
    </row>
    <row r="5" spans="1:6" x14ac:dyDescent="0.2">
      <c r="A5" t="s">
        <v>75</v>
      </c>
      <c r="B5" t="s">
        <v>76</v>
      </c>
      <c r="C5" s="18" t="s">
        <v>18</v>
      </c>
      <c r="D5" t="s">
        <v>22</v>
      </c>
      <c r="E5" s="21">
        <v>43672</v>
      </c>
      <c r="F5" t="s">
        <v>82</v>
      </c>
    </row>
    <row r="6" spans="1:6" x14ac:dyDescent="0.2">
      <c r="A6" t="s">
        <v>19</v>
      </c>
      <c r="B6" t="s">
        <v>20</v>
      </c>
      <c r="C6" t="s">
        <v>18</v>
      </c>
      <c r="D6" t="s">
        <v>22</v>
      </c>
      <c r="E6" s="21">
        <v>43670</v>
      </c>
      <c r="F6" t="s">
        <v>82</v>
      </c>
    </row>
    <row r="7" spans="1:6" x14ac:dyDescent="0.2">
      <c r="A7" t="s">
        <v>30</v>
      </c>
      <c r="B7" t="s">
        <v>31</v>
      </c>
      <c r="C7" t="s">
        <v>18</v>
      </c>
      <c r="D7" t="s">
        <v>22</v>
      </c>
      <c r="E7" s="4">
        <v>43670</v>
      </c>
      <c r="F7" t="s">
        <v>82</v>
      </c>
    </row>
    <row r="8" spans="1:6" x14ac:dyDescent="0.2">
      <c r="A8" t="s">
        <v>39</v>
      </c>
      <c r="B8" t="s">
        <v>40</v>
      </c>
      <c r="C8" t="s">
        <v>18</v>
      </c>
      <c r="D8" t="s">
        <v>22</v>
      </c>
      <c r="E8" s="4">
        <v>43670</v>
      </c>
      <c r="F8" t="s">
        <v>82</v>
      </c>
    </row>
    <row r="9" spans="1:6" x14ac:dyDescent="0.2">
      <c r="A9" t="s">
        <v>37</v>
      </c>
      <c r="B9" t="s">
        <v>38</v>
      </c>
      <c r="C9" t="s">
        <v>18</v>
      </c>
      <c r="D9" t="s">
        <v>22</v>
      </c>
      <c r="E9" s="4">
        <v>43670</v>
      </c>
      <c r="F9" t="s">
        <v>82</v>
      </c>
    </row>
    <row r="10" spans="1:6" x14ac:dyDescent="0.2">
      <c r="A10" t="s">
        <v>25</v>
      </c>
      <c r="B10" t="s">
        <v>26</v>
      </c>
      <c r="C10" t="s">
        <v>18</v>
      </c>
      <c r="D10" t="s">
        <v>22</v>
      </c>
      <c r="E10" s="4">
        <v>43670</v>
      </c>
      <c r="F10" t="s">
        <v>82</v>
      </c>
    </row>
    <row r="11" spans="1:6" x14ac:dyDescent="0.2">
      <c r="A11" t="s">
        <v>73</v>
      </c>
      <c r="B11" t="s">
        <v>74</v>
      </c>
      <c r="C11" s="18">
        <v>8143604025</v>
      </c>
      <c r="D11" t="s">
        <v>22</v>
      </c>
      <c r="E11" s="21">
        <v>43672</v>
      </c>
      <c r="F11" t="s">
        <v>82</v>
      </c>
    </row>
    <row r="12" spans="1:6" x14ac:dyDescent="0.2">
      <c r="A12" t="s">
        <v>35</v>
      </c>
      <c r="B12" t="s">
        <v>36</v>
      </c>
      <c r="C12" s="18" t="s">
        <v>18</v>
      </c>
      <c r="D12" t="s">
        <v>22</v>
      </c>
      <c r="E12" s="21">
        <v>43670</v>
      </c>
      <c r="F12" t="s">
        <v>82</v>
      </c>
    </row>
    <row r="13" spans="1:6" x14ac:dyDescent="0.2">
      <c r="A13" t="s">
        <v>67</v>
      </c>
      <c r="B13" t="s">
        <v>68</v>
      </c>
      <c r="C13" t="s">
        <v>18</v>
      </c>
      <c r="D13" t="s">
        <v>22</v>
      </c>
      <c r="E13" s="21">
        <v>43671</v>
      </c>
      <c r="F13" t="s">
        <v>82</v>
      </c>
    </row>
    <row r="14" spans="1:6" x14ac:dyDescent="0.2">
      <c r="A14" t="s">
        <v>33</v>
      </c>
      <c r="B14" t="s">
        <v>34</v>
      </c>
      <c r="C14" t="s">
        <v>18</v>
      </c>
      <c r="D14" t="s">
        <v>22</v>
      </c>
      <c r="E14" s="21">
        <v>43670</v>
      </c>
      <c r="F14" t="s">
        <v>82</v>
      </c>
    </row>
    <row r="15" spans="1:6" x14ac:dyDescent="0.2">
      <c r="A15" t="s">
        <v>57</v>
      </c>
      <c r="B15" t="s">
        <v>58</v>
      </c>
      <c r="C15" t="s">
        <v>18</v>
      </c>
      <c r="D15" t="s">
        <v>22</v>
      </c>
      <c r="E15" s="21">
        <v>43671</v>
      </c>
      <c r="F15" t="s">
        <v>82</v>
      </c>
    </row>
    <row r="16" spans="1:6" x14ac:dyDescent="0.2">
      <c r="A16" t="s">
        <v>77</v>
      </c>
      <c r="B16" t="s">
        <v>79</v>
      </c>
      <c r="C16" s="18" t="s">
        <v>78</v>
      </c>
      <c r="D16" t="s">
        <v>22</v>
      </c>
      <c r="E16" s="21">
        <v>43672</v>
      </c>
      <c r="F16" t="s">
        <v>82</v>
      </c>
    </row>
    <row r="17" spans="1:6" x14ac:dyDescent="0.2">
      <c r="A17" t="s">
        <v>87</v>
      </c>
      <c r="B17" t="s">
        <v>88</v>
      </c>
      <c r="C17" t="s">
        <v>18</v>
      </c>
      <c r="D17" t="s">
        <v>89</v>
      </c>
      <c r="E17" s="9" t="s">
        <v>18</v>
      </c>
      <c r="F17" t="s">
        <v>18</v>
      </c>
    </row>
    <row r="18" spans="1:6" x14ac:dyDescent="0.2">
      <c r="A18" t="s">
        <v>108</v>
      </c>
      <c r="B18" t="s">
        <v>109</v>
      </c>
      <c r="C18" s="18" t="s">
        <v>82</v>
      </c>
      <c r="D18" t="s">
        <v>22</v>
      </c>
      <c r="E18" s="4">
        <v>43676</v>
      </c>
      <c r="F18" t="s">
        <v>82</v>
      </c>
    </row>
    <row r="19" spans="1:6" x14ac:dyDescent="0.2">
      <c r="A19" t="s">
        <v>119</v>
      </c>
      <c r="B19" t="s">
        <v>115</v>
      </c>
      <c r="C19" t="s">
        <v>82</v>
      </c>
      <c r="D19" t="s">
        <v>22</v>
      </c>
      <c r="E19" s="4">
        <v>43676</v>
      </c>
      <c r="F19" t="s">
        <v>82</v>
      </c>
    </row>
    <row r="20" spans="1:6" x14ac:dyDescent="0.2">
      <c r="A20" t="s">
        <v>120</v>
      </c>
      <c r="B20" t="s">
        <v>118</v>
      </c>
      <c r="C20" t="s">
        <v>82</v>
      </c>
      <c r="D20" t="s">
        <v>22</v>
      </c>
      <c r="E20" s="4">
        <v>43676</v>
      </c>
      <c r="F20" t="s">
        <v>82</v>
      </c>
    </row>
    <row r="21" spans="1:6" x14ac:dyDescent="0.2">
      <c r="A21" t="s">
        <v>145</v>
      </c>
      <c r="B21" t="s">
        <v>131</v>
      </c>
      <c r="C21" t="s">
        <v>82</v>
      </c>
      <c r="D21" t="s">
        <v>22</v>
      </c>
      <c r="E21" s="4">
        <v>43676</v>
      </c>
      <c r="F21" t="s">
        <v>82</v>
      </c>
    </row>
    <row r="22" spans="1:6" x14ac:dyDescent="0.2">
      <c r="A22" t="s">
        <v>148</v>
      </c>
      <c r="B22" t="s">
        <v>125</v>
      </c>
      <c r="C22" t="s">
        <v>82</v>
      </c>
      <c r="D22" t="s">
        <v>22</v>
      </c>
      <c r="E22" s="4">
        <v>43676</v>
      </c>
      <c r="F22" t="s">
        <v>82</v>
      </c>
    </row>
    <row r="23" spans="1:6" x14ac:dyDescent="0.2">
      <c r="A23" t="s">
        <v>149</v>
      </c>
      <c r="B23" t="s">
        <v>140</v>
      </c>
      <c r="C23" t="s">
        <v>82</v>
      </c>
      <c r="D23" t="s">
        <v>22</v>
      </c>
      <c r="E23" s="4">
        <v>43676</v>
      </c>
      <c r="F23" t="s">
        <v>82</v>
      </c>
    </row>
    <row r="24" spans="1:6" x14ac:dyDescent="0.2">
      <c r="A24" t="s">
        <v>150</v>
      </c>
      <c r="B24" t="s">
        <v>143</v>
      </c>
      <c r="C24" t="s">
        <v>82</v>
      </c>
      <c r="D24" t="s">
        <v>22</v>
      </c>
      <c r="E24" s="4">
        <v>43676</v>
      </c>
      <c r="F24" t="s">
        <v>82</v>
      </c>
    </row>
    <row r="25" spans="1:6" x14ac:dyDescent="0.2">
      <c r="C25"/>
      <c r="D25"/>
      <c r="E25"/>
    </row>
    <row r="26" spans="1:6" x14ac:dyDescent="0.2">
      <c r="C26"/>
      <c r="D26"/>
      <c r="E26"/>
    </row>
    <row r="27" spans="1:6" x14ac:dyDescent="0.2">
      <c r="C27"/>
      <c r="D27"/>
      <c r="E27"/>
    </row>
    <row r="28" spans="1:6" x14ac:dyDescent="0.2">
      <c r="D28"/>
    </row>
    <row r="34" spans="4:4" x14ac:dyDescent="0.2">
      <c r="D34"/>
    </row>
    <row r="35" spans="4:4" x14ac:dyDescent="0.2">
      <c r="D35"/>
    </row>
    <row r="36" spans="4:4" x14ac:dyDescent="0.2">
      <c r="D36"/>
    </row>
    <row r="37" spans="4:4" x14ac:dyDescent="0.2">
      <c r="D37"/>
    </row>
    <row r="38" spans="4:4" x14ac:dyDescent="0.2">
      <c r="D38"/>
    </row>
    <row r="39" spans="4:4" x14ac:dyDescent="0.2">
      <c r="D39"/>
    </row>
    <row r="40" spans="4:4" x14ac:dyDescent="0.2">
      <c r="D40"/>
    </row>
    <row r="41" spans="4:4" x14ac:dyDescent="0.2">
      <c r="D41"/>
    </row>
    <row r="42" spans="4:4" x14ac:dyDescent="0.2">
      <c r="D42"/>
    </row>
    <row r="43" spans="4:4" x14ac:dyDescent="0.2">
      <c r="D43"/>
    </row>
    <row r="44" spans="4:4" x14ac:dyDescent="0.2">
      <c r="D44"/>
    </row>
    <row r="45" spans="4:4" x14ac:dyDescent="0.2">
      <c r="D45"/>
    </row>
    <row r="46" spans="4:4" x14ac:dyDescent="0.2">
      <c r="D46"/>
    </row>
    <row r="47" spans="4:4" x14ac:dyDescent="0.2">
      <c r="D47"/>
    </row>
    <row r="48" spans="4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A7799-2331-A94D-A87C-AD42AB82D938}">
  <sheetPr codeName="Sheet6"/>
  <dimension ref="A4:F57"/>
  <sheetViews>
    <sheetView workbookViewId="0">
      <selection activeCell="B15" sqref="B15"/>
    </sheetView>
  </sheetViews>
  <sheetFormatPr baseColWidth="10" defaultRowHeight="16" x14ac:dyDescent="0.2"/>
  <cols>
    <col min="1" max="1" width="7.83203125" customWidth="1"/>
    <col min="2" max="2" width="18.83203125" customWidth="1"/>
    <col min="3" max="3" width="20.83203125" style="18" bestFit="1" customWidth="1"/>
    <col min="4" max="4" width="28.83203125" style="4" bestFit="1" customWidth="1"/>
    <col min="5" max="5" width="24.1640625" bestFit="1" customWidth="1"/>
    <col min="6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4" spans="1:6" x14ac:dyDescent="0.2">
      <c r="A4" s="8" t="s">
        <v>84</v>
      </c>
      <c r="B4" t="s">
        <v>83</v>
      </c>
    </row>
    <row r="5" spans="1:6" x14ac:dyDescent="0.2">
      <c r="A5" s="8" t="s">
        <v>10</v>
      </c>
      <c r="B5" t="s">
        <v>83</v>
      </c>
    </row>
    <row r="6" spans="1:6" x14ac:dyDescent="0.2">
      <c r="A6" s="8" t="s">
        <v>95</v>
      </c>
      <c r="B6" t="s">
        <v>48</v>
      </c>
    </row>
    <row r="7" spans="1:6" x14ac:dyDescent="0.2">
      <c r="A7" s="8" t="s">
        <v>102</v>
      </c>
      <c r="B7" t="s">
        <v>83</v>
      </c>
    </row>
    <row r="8" spans="1:6" x14ac:dyDescent="0.2">
      <c r="D8"/>
    </row>
    <row r="9" spans="1:6" x14ac:dyDescent="0.2">
      <c r="A9" s="8" t="s">
        <v>91</v>
      </c>
      <c r="B9" s="8" t="s">
        <v>0</v>
      </c>
      <c r="C9" s="8" t="s">
        <v>4</v>
      </c>
      <c r="D9" s="8" t="s">
        <v>93</v>
      </c>
      <c r="E9" s="8" t="s">
        <v>96</v>
      </c>
      <c r="F9" s="8" t="s">
        <v>97</v>
      </c>
    </row>
    <row r="10" spans="1:6" x14ac:dyDescent="0.2">
      <c r="A10" t="s">
        <v>18</v>
      </c>
      <c r="B10" t="s">
        <v>55</v>
      </c>
      <c r="C10" t="s">
        <v>43</v>
      </c>
      <c r="D10" s="4">
        <v>43671</v>
      </c>
      <c r="E10">
        <v>1</v>
      </c>
      <c r="F10">
        <v>0</v>
      </c>
    </row>
    <row r="11" spans="1:6" x14ac:dyDescent="0.2">
      <c r="A11" t="s">
        <v>18</v>
      </c>
      <c r="B11" t="s">
        <v>53</v>
      </c>
      <c r="C11" t="s">
        <v>43</v>
      </c>
      <c r="D11" s="4">
        <v>43670</v>
      </c>
      <c r="E11">
        <v>1</v>
      </c>
      <c r="F11">
        <v>0</v>
      </c>
    </row>
    <row r="12" spans="1:6" x14ac:dyDescent="0.2">
      <c r="A12" t="s">
        <v>18</v>
      </c>
      <c r="B12" t="s">
        <v>63</v>
      </c>
      <c r="C12" t="s">
        <v>43</v>
      </c>
      <c r="D12" s="4">
        <v>43671</v>
      </c>
      <c r="E12">
        <v>1</v>
      </c>
      <c r="F12">
        <v>0</v>
      </c>
    </row>
    <row r="13" spans="1:6" x14ac:dyDescent="0.2">
      <c r="A13" t="s">
        <v>18</v>
      </c>
      <c r="B13" t="s">
        <v>45</v>
      </c>
      <c r="C13" t="s">
        <v>43</v>
      </c>
      <c r="D13" s="4">
        <v>43670</v>
      </c>
      <c r="E13">
        <v>1</v>
      </c>
      <c r="F13">
        <v>0</v>
      </c>
    </row>
    <row r="14" spans="1:6" x14ac:dyDescent="0.2">
      <c r="A14" t="s">
        <v>18</v>
      </c>
      <c r="B14" t="s">
        <v>59</v>
      </c>
      <c r="C14" t="s">
        <v>43</v>
      </c>
      <c r="D14" s="4">
        <v>43671</v>
      </c>
      <c r="E14">
        <v>1</v>
      </c>
      <c r="F14">
        <v>0</v>
      </c>
    </row>
    <row r="15" spans="1:6" x14ac:dyDescent="0.2">
      <c r="A15" t="s">
        <v>18</v>
      </c>
      <c r="B15" t="s">
        <v>61</v>
      </c>
      <c r="C15" t="s">
        <v>43</v>
      </c>
      <c r="D15" s="4">
        <v>43675</v>
      </c>
      <c r="E15">
        <v>1</v>
      </c>
      <c r="F15">
        <v>0</v>
      </c>
    </row>
    <row r="16" spans="1:6" x14ac:dyDescent="0.2">
      <c r="A16" t="s">
        <v>18</v>
      </c>
      <c r="B16" t="s">
        <v>87</v>
      </c>
      <c r="C16" t="s">
        <v>89</v>
      </c>
      <c r="D16" t="s">
        <v>18</v>
      </c>
      <c r="E16">
        <v>8</v>
      </c>
      <c r="F16" t="s">
        <v>82</v>
      </c>
    </row>
    <row r="17" spans="1:6" x14ac:dyDescent="0.2">
      <c r="A17" t="s">
        <v>18</v>
      </c>
      <c r="B17" t="s">
        <v>144</v>
      </c>
      <c r="C17" t="s">
        <v>22</v>
      </c>
      <c r="D17" s="4">
        <v>43676</v>
      </c>
      <c r="E17">
        <v>1</v>
      </c>
      <c r="F17">
        <v>0</v>
      </c>
    </row>
    <row r="18" spans="1:6" x14ac:dyDescent="0.2">
      <c r="A18" t="s">
        <v>18</v>
      </c>
      <c r="B18" t="s">
        <v>146</v>
      </c>
      <c r="C18" t="s">
        <v>43</v>
      </c>
      <c r="D18" s="4">
        <v>43676</v>
      </c>
      <c r="E18">
        <v>1</v>
      </c>
      <c r="F18">
        <v>0</v>
      </c>
    </row>
    <row r="19" spans="1:6" x14ac:dyDescent="0.2">
      <c r="C19"/>
      <c r="D19"/>
    </row>
    <row r="20" spans="1:6" x14ac:dyDescent="0.2">
      <c r="C20"/>
      <c r="D20"/>
    </row>
    <row r="21" spans="1:6" x14ac:dyDescent="0.2">
      <c r="C21"/>
      <c r="D21"/>
    </row>
    <row r="22" spans="1:6" x14ac:dyDescent="0.2">
      <c r="C22"/>
      <c r="D22"/>
    </row>
    <row r="23" spans="1:6" x14ac:dyDescent="0.2">
      <c r="C23"/>
      <c r="D23"/>
    </row>
    <row r="24" spans="1:6" x14ac:dyDescent="0.2">
      <c r="C24"/>
      <c r="D24"/>
    </row>
    <row r="25" spans="1:6" x14ac:dyDescent="0.2">
      <c r="C25"/>
      <c r="D25"/>
    </row>
    <row r="26" spans="1:6" x14ac:dyDescent="0.2">
      <c r="C26"/>
      <c r="D26"/>
    </row>
    <row r="27" spans="1:6" x14ac:dyDescent="0.2">
      <c r="C27"/>
      <c r="D27"/>
    </row>
    <row r="28" spans="1:6" x14ac:dyDescent="0.2">
      <c r="C28"/>
      <c r="D28"/>
    </row>
    <row r="29" spans="1:6" x14ac:dyDescent="0.2">
      <c r="C29"/>
      <c r="D29"/>
    </row>
    <row r="30" spans="1:6" x14ac:dyDescent="0.2">
      <c r="C30"/>
      <c r="D30"/>
    </row>
    <row r="31" spans="1:6" x14ac:dyDescent="0.2">
      <c r="C31"/>
      <c r="D31"/>
    </row>
    <row r="32" spans="1:6" x14ac:dyDescent="0.2">
      <c r="C32"/>
      <c r="D32"/>
    </row>
    <row r="33" spans="3:4" x14ac:dyDescent="0.2">
      <c r="C33"/>
      <c r="D33"/>
    </row>
    <row r="34" spans="3:4" x14ac:dyDescent="0.2">
      <c r="D34"/>
    </row>
    <row r="35" spans="3:4" x14ac:dyDescent="0.2">
      <c r="D35"/>
    </row>
    <row r="36" spans="3:4" x14ac:dyDescent="0.2">
      <c r="D36"/>
    </row>
    <row r="37" spans="3:4" x14ac:dyDescent="0.2">
      <c r="D37"/>
    </row>
    <row r="38" spans="3:4" x14ac:dyDescent="0.2">
      <c r="D38"/>
    </row>
    <row r="39" spans="3:4" x14ac:dyDescent="0.2">
      <c r="D39"/>
    </row>
    <row r="40" spans="3:4" x14ac:dyDescent="0.2">
      <c r="D40"/>
    </row>
    <row r="41" spans="3:4" x14ac:dyDescent="0.2">
      <c r="D41"/>
    </row>
    <row r="42" spans="3:4" x14ac:dyDescent="0.2">
      <c r="D42"/>
    </row>
    <row r="43" spans="3:4" x14ac:dyDescent="0.2">
      <c r="D43"/>
    </row>
    <row r="44" spans="3:4" x14ac:dyDescent="0.2">
      <c r="D44"/>
    </row>
    <row r="45" spans="3:4" x14ac:dyDescent="0.2">
      <c r="D45"/>
    </row>
    <row r="46" spans="3:4" x14ac:dyDescent="0.2">
      <c r="D46"/>
    </row>
    <row r="47" spans="3:4" x14ac:dyDescent="0.2"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sortState xmlns:xlrd2="http://schemas.microsoft.com/office/spreadsheetml/2017/richdata2" ref="A8:G12">
    <sortCondition ref="A1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C25D-C071-844F-BF8F-78364F1F7F1A}">
  <sheetPr codeName="Sheet7"/>
  <dimension ref="A1:I57"/>
  <sheetViews>
    <sheetView workbookViewId="0">
      <selection activeCell="C21" sqref="C21"/>
    </sheetView>
  </sheetViews>
  <sheetFormatPr baseColWidth="10" defaultRowHeight="16" x14ac:dyDescent="0.2"/>
  <cols>
    <col min="1" max="2" width="27.83203125" bestFit="1" customWidth="1"/>
    <col min="3" max="3" width="27.83203125" style="18" bestFit="1" customWidth="1"/>
    <col min="4" max="4" width="27.83203125" style="4" bestFit="1" customWidth="1"/>
    <col min="5" max="5" width="13.6640625" bestFit="1" customWidth="1"/>
    <col min="6" max="6" width="14.5" bestFit="1" customWidth="1"/>
    <col min="7" max="9" width="14.16406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1" spans="1:9" x14ac:dyDescent="0.2">
      <c r="A1" s="8" t="s">
        <v>95</v>
      </c>
      <c r="B1" t="s">
        <v>14</v>
      </c>
    </row>
    <row r="2" spans="1:9" x14ac:dyDescent="0.2">
      <c r="A2" s="8" t="s">
        <v>121</v>
      </c>
      <c r="B2" t="s">
        <v>85</v>
      </c>
    </row>
    <row r="3" spans="1:9" x14ac:dyDescent="0.2">
      <c r="C3"/>
      <c r="D3"/>
    </row>
    <row r="4" spans="1:9" x14ac:dyDescent="0.2">
      <c r="A4" s="8" t="s">
        <v>91</v>
      </c>
      <c r="B4" s="8" t="s">
        <v>0</v>
      </c>
      <c r="C4" s="8" t="s">
        <v>2</v>
      </c>
      <c r="D4" s="19" t="s">
        <v>1</v>
      </c>
      <c r="E4" s="8" t="s">
        <v>5</v>
      </c>
      <c r="F4" s="8" t="s">
        <v>103</v>
      </c>
      <c r="G4" s="8" t="s">
        <v>104</v>
      </c>
      <c r="H4" s="8" t="s">
        <v>105</v>
      </c>
      <c r="I4" s="8" t="s">
        <v>106</v>
      </c>
    </row>
    <row r="5" spans="1:9" x14ac:dyDescent="0.2">
      <c r="A5">
        <v>1</v>
      </c>
      <c r="B5" t="s">
        <v>50</v>
      </c>
      <c r="C5" t="s">
        <v>52</v>
      </c>
      <c r="D5" t="s">
        <v>51</v>
      </c>
      <c r="E5" t="s">
        <v>23</v>
      </c>
      <c r="F5" s="4">
        <v>43623</v>
      </c>
      <c r="G5" t="s">
        <v>82</v>
      </c>
      <c r="H5" t="s">
        <v>82</v>
      </c>
      <c r="I5" t="s">
        <v>82</v>
      </c>
    </row>
    <row r="6" spans="1:9" x14ac:dyDescent="0.2">
      <c r="A6">
        <v>2</v>
      </c>
      <c r="B6" t="s">
        <v>80</v>
      </c>
      <c r="C6" t="s">
        <v>81</v>
      </c>
      <c r="D6">
        <v>7328560626</v>
      </c>
      <c r="E6" t="s">
        <v>23</v>
      </c>
      <c r="F6" s="4">
        <v>43683</v>
      </c>
      <c r="G6" t="s">
        <v>82</v>
      </c>
      <c r="H6" t="s">
        <v>82</v>
      </c>
      <c r="I6" t="s">
        <v>82</v>
      </c>
    </row>
    <row r="7" spans="1:9" x14ac:dyDescent="0.2">
      <c r="C7"/>
      <c r="D7"/>
    </row>
    <row r="8" spans="1:9" x14ac:dyDescent="0.2">
      <c r="C8"/>
      <c r="D8"/>
    </row>
    <row r="9" spans="1:9" x14ac:dyDescent="0.2">
      <c r="C9"/>
      <c r="D9"/>
    </row>
    <row r="12" spans="1:9" x14ac:dyDescent="0.2">
      <c r="A12" s="37"/>
      <c r="B12" s="38"/>
      <c r="C12" s="39"/>
      <c r="D12"/>
    </row>
    <row r="13" spans="1:9" x14ac:dyDescent="0.2">
      <c r="A13" s="40"/>
      <c r="B13" s="41"/>
      <c r="C13" s="42"/>
      <c r="D13"/>
    </row>
    <row r="14" spans="1:9" x14ac:dyDescent="0.2">
      <c r="A14" s="40"/>
      <c r="B14" s="41"/>
      <c r="C14" s="42"/>
      <c r="D14"/>
    </row>
    <row r="15" spans="1:9" x14ac:dyDescent="0.2">
      <c r="A15" s="40"/>
      <c r="B15" s="41"/>
      <c r="C15" s="42"/>
      <c r="D15"/>
    </row>
    <row r="16" spans="1:9" x14ac:dyDescent="0.2">
      <c r="A16" s="40"/>
      <c r="B16" s="41"/>
      <c r="C16" s="42"/>
      <c r="D16"/>
    </row>
    <row r="17" spans="1:4" x14ac:dyDescent="0.2">
      <c r="A17" s="40"/>
      <c r="B17" s="41"/>
      <c r="C17" s="42"/>
      <c r="D17"/>
    </row>
    <row r="18" spans="1:4" x14ac:dyDescent="0.2">
      <c r="A18" s="40"/>
      <c r="B18" s="41"/>
      <c r="C18" s="42"/>
      <c r="D18"/>
    </row>
    <row r="19" spans="1:4" x14ac:dyDescent="0.2">
      <c r="A19" s="40"/>
      <c r="B19" s="41"/>
      <c r="C19" s="42"/>
      <c r="D19"/>
    </row>
    <row r="20" spans="1:4" x14ac:dyDescent="0.2">
      <c r="A20" s="40"/>
      <c r="B20" s="41"/>
      <c r="C20" s="42"/>
      <c r="D20"/>
    </row>
    <row r="21" spans="1:4" x14ac:dyDescent="0.2">
      <c r="A21" s="40"/>
      <c r="B21" s="41"/>
      <c r="C21" s="42"/>
      <c r="D21"/>
    </row>
    <row r="22" spans="1:4" x14ac:dyDescent="0.2">
      <c r="A22" s="40"/>
      <c r="B22" s="41"/>
      <c r="C22" s="42"/>
      <c r="D22"/>
    </row>
    <row r="23" spans="1:4" x14ac:dyDescent="0.2">
      <c r="A23" s="40"/>
      <c r="B23" s="41"/>
      <c r="C23" s="42"/>
      <c r="D23"/>
    </row>
    <row r="24" spans="1:4" x14ac:dyDescent="0.2">
      <c r="A24" s="40"/>
      <c r="B24" s="41"/>
      <c r="C24" s="42"/>
      <c r="D24"/>
    </row>
    <row r="25" spans="1:4" x14ac:dyDescent="0.2">
      <c r="A25" s="40"/>
      <c r="B25" s="41"/>
      <c r="C25" s="42"/>
      <c r="D25"/>
    </row>
    <row r="26" spans="1:4" x14ac:dyDescent="0.2">
      <c r="A26" s="40"/>
      <c r="B26" s="41"/>
      <c r="C26" s="42"/>
      <c r="D26"/>
    </row>
    <row r="27" spans="1:4" x14ac:dyDescent="0.2">
      <c r="A27" s="40"/>
      <c r="B27" s="41"/>
      <c r="C27" s="42"/>
      <c r="D27"/>
    </row>
    <row r="28" spans="1:4" x14ac:dyDescent="0.2">
      <c r="A28" s="40"/>
      <c r="B28" s="41"/>
      <c r="C28" s="42"/>
      <c r="D28"/>
    </row>
    <row r="29" spans="1:4" x14ac:dyDescent="0.2">
      <c r="A29" s="43"/>
      <c r="B29" s="44"/>
      <c r="C29" s="45"/>
      <c r="D29"/>
    </row>
    <row r="30" spans="1:4" x14ac:dyDescent="0.2">
      <c r="C30"/>
      <c r="D30"/>
    </row>
    <row r="31" spans="1:4" x14ac:dyDescent="0.2">
      <c r="C31"/>
      <c r="D31"/>
    </row>
    <row r="32" spans="1:4" x14ac:dyDescent="0.2">
      <c r="C32"/>
      <c r="D32"/>
    </row>
    <row r="33" spans="3:4" x14ac:dyDescent="0.2">
      <c r="C33"/>
      <c r="D33"/>
    </row>
    <row r="34" spans="3:4" x14ac:dyDescent="0.2">
      <c r="C34"/>
      <c r="D34"/>
    </row>
    <row r="35" spans="3:4" x14ac:dyDescent="0.2">
      <c r="C35"/>
      <c r="D35"/>
    </row>
    <row r="36" spans="3:4" x14ac:dyDescent="0.2">
      <c r="C36"/>
      <c r="D36"/>
    </row>
    <row r="37" spans="3:4" x14ac:dyDescent="0.2">
      <c r="C37"/>
      <c r="D37"/>
    </row>
    <row r="38" spans="3:4" x14ac:dyDescent="0.2">
      <c r="C38"/>
      <c r="D38"/>
    </row>
    <row r="39" spans="3:4" x14ac:dyDescent="0.2">
      <c r="C39"/>
      <c r="D39"/>
    </row>
    <row r="40" spans="3:4" x14ac:dyDescent="0.2">
      <c r="C40"/>
      <c r="D40"/>
    </row>
    <row r="41" spans="3:4" x14ac:dyDescent="0.2">
      <c r="C41"/>
      <c r="D41"/>
    </row>
    <row r="42" spans="3:4" x14ac:dyDescent="0.2">
      <c r="C42"/>
      <c r="D42"/>
    </row>
    <row r="43" spans="3:4" x14ac:dyDescent="0.2">
      <c r="C43"/>
      <c r="D43"/>
    </row>
    <row r="44" spans="3:4" x14ac:dyDescent="0.2">
      <c r="C44"/>
      <c r="D44"/>
    </row>
    <row r="45" spans="3:4" x14ac:dyDescent="0.2">
      <c r="C45"/>
      <c r="D45"/>
    </row>
    <row r="46" spans="3:4" x14ac:dyDescent="0.2">
      <c r="C46"/>
      <c r="D46"/>
    </row>
    <row r="47" spans="3:4" x14ac:dyDescent="0.2">
      <c r="C47"/>
      <c r="D47"/>
    </row>
    <row r="48" spans="3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7C5C0-7197-B24B-9D8D-D1D81B3D6B85}">
  <sheetPr codeName="Sheet10"/>
  <dimension ref="A8:D57"/>
  <sheetViews>
    <sheetView workbookViewId="0">
      <selection activeCell="A9" sqref="A9:B44"/>
    </sheetView>
  </sheetViews>
  <sheetFormatPr baseColWidth="10" defaultRowHeight="16" x14ac:dyDescent="0.2"/>
  <cols>
    <col min="1" max="1" width="19.1640625" bestFit="1" customWidth="1"/>
    <col min="2" max="2" width="6.83203125" bestFit="1" customWidth="1"/>
    <col min="3" max="3" width="30.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8" spans="1:4" x14ac:dyDescent="0.2">
      <c r="D8"/>
    </row>
    <row r="9" spans="1:4" x14ac:dyDescent="0.2">
      <c r="A9" s="8" t="s">
        <v>0</v>
      </c>
      <c r="B9" s="8" t="s">
        <v>91</v>
      </c>
      <c r="C9"/>
      <c r="D9"/>
    </row>
    <row r="10" spans="1:4" x14ac:dyDescent="0.2">
      <c r="A10" t="s">
        <v>55</v>
      </c>
      <c r="B10" t="s">
        <v>18</v>
      </c>
      <c r="C10"/>
      <c r="D10"/>
    </row>
    <row r="11" spans="1:4" x14ac:dyDescent="0.2">
      <c r="A11" t="s">
        <v>41</v>
      </c>
      <c r="B11" t="s">
        <v>18</v>
      </c>
      <c r="C11"/>
      <c r="D11"/>
    </row>
    <row r="12" spans="1:4" x14ac:dyDescent="0.2">
      <c r="A12" t="s">
        <v>75</v>
      </c>
      <c r="B12" t="s">
        <v>18</v>
      </c>
      <c r="C12"/>
      <c r="D12"/>
    </row>
    <row r="13" spans="1:4" x14ac:dyDescent="0.2">
      <c r="A13" t="s">
        <v>19</v>
      </c>
      <c r="B13" t="s">
        <v>18</v>
      </c>
      <c r="C13"/>
      <c r="D13"/>
    </row>
    <row r="14" spans="1:4" x14ac:dyDescent="0.2">
      <c r="A14" t="s">
        <v>53</v>
      </c>
      <c r="B14" t="s">
        <v>18</v>
      </c>
      <c r="C14"/>
      <c r="D14"/>
    </row>
    <row r="15" spans="1:4" x14ac:dyDescent="0.2">
      <c r="A15" t="s">
        <v>30</v>
      </c>
      <c r="B15" t="s">
        <v>18</v>
      </c>
      <c r="C15"/>
      <c r="D15"/>
    </row>
    <row r="16" spans="1:4" x14ac:dyDescent="0.2">
      <c r="A16" t="s">
        <v>39</v>
      </c>
      <c r="B16" t="s">
        <v>18</v>
      </c>
      <c r="C16"/>
      <c r="D16"/>
    </row>
    <row r="17" spans="1:4" x14ac:dyDescent="0.2">
      <c r="A17" t="s">
        <v>63</v>
      </c>
      <c r="B17" t="s">
        <v>18</v>
      </c>
      <c r="C17"/>
      <c r="D17"/>
    </row>
    <row r="18" spans="1:4" x14ac:dyDescent="0.2">
      <c r="A18" t="s">
        <v>37</v>
      </c>
      <c r="B18" t="s">
        <v>18</v>
      </c>
      <c r="C18"/>
      <c r="D18"/>
    </row>
    <row r="19" spans="1:4" x14ac:dyDescent="0.2">
      <c r="A19" t="s">
        <v>45</v>
      </c>
      <c r="B19" t="s">
        <v>18</v>
      </c>
      <c r="C19"/>
      <c r="D19"/>
    </row>
    <row r="20" spans="1:4" x14ac:dyDescent="0.2">
      <c r="A20" t="s">
        <v>25</v>
      </c>
      <c r="B20" t="s">
        <v>18</v>
      </c>
      <c r="C20"/>
      <c r="D20"/>
    </row>
    <row r="21" spans="1:4" x14ac:dyDescent="0.2">
      <c r="A21" t="s">
        <v>73</v>
      </c>
      <c r="B21" t="s">
        <v>18</v>
      </c>
      <c r="C21"/>
      <c r="D21"/>
    </row>
    <row r="22" spans="1:4" x14ac:dyDescent="0.2">
      <c r="A22" t="s">
        <v>50</v>
      </c>
      <c r="B22">
        <v>1</v>
      </c>
      <c r="C22"/>
      <c r="D22"/>
    </row>
    <row r="23" spans="1:4" x14ac:dyDescent="0.2">
      <c r="A23" t="s">
        <v>35</v>
      </c>
      <c r="B23" t="s">
        <v>18</v>
      </c>
      <c r="C23"/>
      <c r="D23"/>
    </row>
    <row r="24" spans="1:4" x14ac:dyDescent="0.2">
      <c r="A24" t="s">
        <v>67</v>
      </c>
      <c r="B24" t="s">
        <v>18</v>
      </c>
      <c r="C24"/>
      <c r="D24"/>
    </row>
    <row r="25" spans="1:4" x14ac:dyDescent="0.2">
      <c r="A25" t="s">
        <v>59</v>
      </c>
      <c r="B25" t="s">
        <v>18</v>
      </c>
      <c r="C25"/>
      <c r="D25"/>
    </row>
    <row r="26" spans="1:4" x14ac:dyDescent="0.2">
      <c r="A26" t="s">
        <v>80</v>
      </c>
      <c r="B26">
        <v>2</v>
      </c>
      <c r="C26"/>
      <c r="D26"/>
    </row>
    <row r="27" spans="1:4" x14ac:dyDescent="0.2">
      <c r="A27" t="s">
        <v>33</v>
      </c>
      <c r="B27" t="s">
        <v>18</v>
      </c>
      <c r="C27"/>
      <c r="D27"/>
    </row>
    <row r="28" spans="1:4" x14ac:dyDescent="0.2">
      <c r="A28" t="s">
        <v>57</v>
      </c>
      <c r="B28" t="s">
        <v>18</v>
      </c>
      <c r="C28"/>
      <c r="D28"/>
    </row>
    <row r="29" spans="1:4" x14ac:dyDescent="0.2">
      <c r="A29" t="s">
        <v>70</v>
      </c>
      <c r="B29" t="s">
        <v>18</v>
      </c>
      <c r="C29"/>
      <c r="D29"/>
    </row>
    <row r="30" spans="1:4" x14ac:dyDescent="0.2">
      <c r="A30" t="s">
        <v>61</v>
      </c>
      <c r="B30" t="s">
        <v>18</v>
      </c>
      <c r="C30"/>
      <c r="D30"/>
    </row>
    <row r="31" spans="1:4" x14ac:dyDescent="0.2">
      <c r="A31" t="s">
        <v>77</v>
      </c>
      <c r="B31" t="s">
        <v>18</v>
      </c>
      <c r="C31"/>
      <c r="D31"/>
    </row>
    <row r="32" spans="1:4" x14ac:dyDescent="0.2">
      <c r="A32" t="s">
        <v>82</v>
      </c>
      <c r="B32" t="s">
        <v>82</v>
      </c>
      <c r="C32"/>
      <c r="D32"/>
    </row>
    <row r="33" spans="1:4" x14ac:dyDescent="0.2">
      <c r="A33" t="s">
        <v>87</v>
      </c>
      <c r="B33" t="s">
        <v>18</v>
      </c>
      <c r="C33"/>
      <c r="D33"/>
    </row>
    <row r="34" spans="1:4" x14ac:dyDescent="0.2">
      <c r="A34" t="s">
        <v>108</v>
      </c>
      <c r="B34" t="s">
        <v>18</v>
      </c>
      <c r="D34"/>
    </row>
    <row r="35" spans="1:4" x14ac:dyDescent="0.2">
      <c r="B35" t="s">
        <v>82</v>
      </c>
      <c r="D35"/>
    </row>
    <row r="36" spans="1:4" x14ac:dyDescent="0.2">
      <c r="A36" t="s">
        <v>119</v>
      </c>
      <c r="B36" t="s">
        <v>18</v>
      </c>
      <c r="D36"/>
    </row>
    <row r="37" spans="1:4" x14ac:dyDescent="0.2">
      <c r="A37" t="s">
        <v>120</v>
      </c>
      <c r="B37" t="s">
        <v>18</v>
      </c>
      <c r="D37"/>
    </row>
    <row r="38" spans="1:4" x14ac:dyDescent="0.2">
      <c r="A38" t="s">
        <v>144</v>
      </c>
      <c r="B38" t="s">
        <v>18</v>
      </c>
      <c r="D38"/>
    </row>
    <row r="39" spans="1:4" x14ac:dyDescent="0.2">
      <c r="A39" t="s">
        <v>145</v>
      </c>
      <c r="B39" t="s">
        <v>18</v>
      </c>
      <c r="D39"/>
    </row>
    <row r="40" spans="1:4" x14ac:dyDescent="0.2">
      <c r="A40" t="s">
        <v>146</v>
      </c>
      <c r="B40" t="s">
        <v>18</v>
      </c>
      <c r="D40"/>
    </row>
    <row r="41" spans="1:4" x14ac:dyDescent="0.2">
      <c r="A41" t="s">
        <v>147</v>
      </c>
      <c r="B41" t="s">
        <v>18</v>
      </c>
      <c r="D41"/>
    </row>
    <row r="42" spans="1:4" x14ac:dyDescent="0.2">
      <c r="A42" t="s">
        <v>148</v>
      </c>
      <c r="B42" t="s">
        <v>18</v>
      </c>
      <c r="D42"/>
    </row>
    <row r="43" spans="1:4" x14ac:dyDescent="0.2">
      <c r="A43" t="s">
        <v>149</v>
      </c>
      <c r="B43" t="s">
        <v>18</v>
      </c>
      <c r="D43"/>
    </row>
    <row r="44" spans="1:4" x14ac:dyDescent="0.2">
      <c r="A44" t="s">
        <v>150</v>
      </c>
      <c r="B44" t="s">
        <v>18</v>
      </c>
      <c r="D44"/>
    </row>
    <row r="45" spans="1:4" x14ac:dyDescent="0.2">
      <c r="D45"/>
    </row>
    <row r="46" spans="1:4" x14ac:dyDescent="0.2">
      <c r="D46"/>
    </row>
    <row r="47" spans="1:4" x14ac:dyDescent="0.2">
      <c r="D47"/>
    </row>
    <row r="48" spans="1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58534-4E8B-0946-9637-A6CDAA95B9F8}">
  <sheetPr codeName="Sheet8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81D8-BF79-0B46-9BE1-383396C88286}">
  <sheetPr codeName="Sheet9"/>
  <dimension ref="A8:D57"/>
  <sheetViews>
    <sheetView topLeftCell="A8" workbookViewId="0">
      <selection activeCell="A9" sqref="A9"/>
    </sheetView>
  </sheetViews>
  <sheetFormatPr baseColWidth="10" defaultRowHeight="16" x14ac:dyDescent="0.2"/>
  <cols>
    <col min="1" max="1" width="19.1640625" bestFit="1" customWidth="1"/>
    <col min="2" max="2" width="6.83203125" bestFit="1" customWidth="1"/>
    <col min="3" max="3" width="30.5" style="18" bestFit="1" customWidth="1"/>
    <col min="4" max="4" width="30.5" style="4" bestFit="1" customWidth="1"/>
    <col min="5" max="6" width="30.5" bestFit="1" customWidth="1"/>
    <col min="7" max="9" width="25" bestFit="1" customWidth="1"/>
    <col min="10" max="10" width="18" bestFit="1" customWidth="1"/>
    <col min="11" max="14" width="25" bestFit="1" customWidth="1"/>
    <col min="15" max="15" width="16.83203125" bestFit="1" customWidth="1"/>
    <col min="16" max="16" width="14.33203125" bestFit="1" customWidth="1"/>
    <col min="17" max="17" width="17" bestFit="1" customWidth="1"/>
    <col min="18" max="18" width="12.33203125" bestFit="1" customWidth="1"/>
    <col min="19" max="19" width="14.83203125" bestFit="1" customWidth="1"/>
    <col min="20" max="20" width="15.33203125" bestFit="1" customWidth="1"/>
    <col min="21" max="21" width="18" bestFit="1" customWidth="1"/>
    <col min="22" max="22" width="11.6640625" bestFit="1" customWidth="1"/>
    <col min="23" max="23" width="14.1640625" bestFit="1" customWidth="1"/>
    <col min="24" max="24" width="13.33203125" bestFit="1" customWidth="1"/>
    <col min="25" max="25" width="15.83203125" bestFit="1" customWidth="1"/>
    <col min="26" max="26" width="16.33203125" bestFit="1" customWidth="1"/>
    <col min="27" max="27" width="19" bestFit="1" customWidth="1"/>
    <col min="28" max="28" width="13.83203125" bestFit="1" customWidth="1"/>
    <col min="29" max="29" width="16.5" bestFit="1" customWidth="1"/>
    <col min="30" max="30" width="13" bestFit="1" customWidth="1"/>
    <col min="31" max="31" width="15.5" bestFit="1" customWidth="1"/>
    <col min="32" max="32" width="14.1640625" bestFit="1" customWidth="1"/>
    <col min="33" max="33" width="16.83203125" bestFit="1" customWidth="1"/>
    <col min="34" max="34" width="16.1640625" bestFit="1" customWidth="1"/>
    <col min="35" max="35" width="18.83203125" bestFit="1" customWidth="1"/>
    <col min="36" max="36" width="18.5" bestFit="1" customWidth="1"/>
    <col min="37" max="37" width="21" bestFit="1" customWidth="1"/>
    <col min="38" max="39" width="12.5" bestFit="1" customWidth="1"/>
    <col min="40" max="40" width="13.5" bestFit="1" customWidth="1"/>
    <col min="41" max="41" width="16" bestFit="1" customWidth="1"/>
    <col min="42" max="42" width="15.5" bestFit="1" customWidth="1"/>
    <col min="43" max="43" width="18.1640625" bestFit="1" customWidth="1"/>
    <col min="44" max="44" width="13.33203125" bestFit="1" customWidth="1"/>
    <col min="45" max="45" width="15.83203125" bestFit="1" customWidth="1"/>
    <col min="46" max="46" width="13.33203125" bestFit="1" customWidth="1"/>
    <col min="47" max="47" width="15.83203125" bestFit="1" customWidth="1"/>
    <col min="48" max="48" width="9.1640625" bestFit="1" customWidth="1"/>
    <col min="49" max="49" width="11.6640625" bestFit="1" customWidth="1"/>
  </cols>
  <sheetData>
    <row r="8" spans="1:4" x14ac:dyDescent="0.2">
      <c r="D8"/>
    </row>
    <row r="9" spans="1:4" x14ac:dyDescent="0.2">
      <c r="A9" s="8" t="s">
        <v>0</v>
      </c>
      <c r="B9" s="8" t="s">
        <v>91</v>
      </c>
      <c r="C9"/>
      <c r="D9"/>
    </row>
    <row r="10" spans="1:4" x14ac:dyDescent="0.2">
      <c r="A10" t="s">
        <v>55</v>
      </c>
      <c r="B10" t="s">
        <v>18</v>
      </c>
      <c r="C10"/>
      <c r="D10"/>
    </row>
    <row r="11" spans="1:4" x14ac:dyDescent="0.2">
      <c r="A11" t="s">
        <v>41</v>
      </c>
      <c r="B11" t="s">
        <v>18</v>
      </c>
      <c r="C11"/>
      <c r="D11"/>
    </row>
    <row r="12" spans="1:4" x14ac:dyDescent="0.2">
      <c r="A12" t="s">
        <v>75</v>
      </c>
      <c r="B12" t="s">
        <v>18</v>
      </c>
      <c r="C12"/>
      <c r="D12"/>
    </row>
    <row r="13" spans="1:4" x14ac:dyDescent="0.2">
      <c r="A13" t="s">
        <v>19</v>
      </c>
      <c r="B13" t="s">
        <v>18</v>
      </c>
      <c r="C13"/>
      <c r="D13"/>
    </row>
    <row r="14" spans="1:4" x14ac:dyDescent="0.2">
      <c r="A14" t="s">
        <v>53</v>
      </c>
      <c r="B14" t="s">
        <v>18</v>
      </c>
      <c r="C14"/>
      <c r="D14"/>
    </row>
    <row r="15" spans="1:4" x14ac:dyDescent="0.2">
      <c r="A15" t="s">
        <v>30</v>
      </c>
      <c r="B15" t="s">
        <v>18</v>
      </c>
      <c r="C15"/>
      <c r="D15"/>
    </row>
    <row r="16" spans="1:4" x14ac:dyDescent="0.2">
      <c r="A16" t="s">
        <v>39</v>
      </c>
      <c r="B16" t="s">
        <v>18</v>
      </c>
      <c r="C16"/>
      <c r="D16"/>
    </row>
    <row r="17" spans="1:4" x14ac:dyDescent="0.2">
      <c r="A17" t="s">
        <v>63</v>
      </c>
      <c r="B17" t="s">
        <v>18</v>
      </c>
      <c r="C17"/>
      <c r="D17"/>
    </row>
    <row r="18" spans="1:4" x14ac:dyDescent="0.2">
      <c r="A18" t="s">
        <v>37</v>
      </c>
      <c r="B18" t="s">
        <v>18</v>
      </c>
      <c r="C18"/>
      <c r="D18"/>
    </row>
    <row r="19" spans="1:4" x14ac:dyDescent="0.2">
      <c r="A19" t="s">
        <v>45</v>
      </c>
      <c r="B19" t="s">
        <v>18</v>
      </c>
      <c r="C19"/>
      <c r="D19"/>
    </row>
    <row r="20" spans="1:4" x14ac:dyDescent="0.2">
      <c r="A20" t="s">
        <v>25</v>
      </c>
      <c r="B20" t="s">
        <v>18</v>
      </c>
      <c r="C20"/>
      <c r="D20"/>
    </row>
    <row r="21" spans="1:4" x14ac:dyDescent="0.2">
      <c r="A21" t="s">
        <v>73</v>
      </c>
      <c r="B21" t="s">
        <v>18</v>
      </c>
      <c r="C21"/>
      <c r="D21"/>
    </row>
    <row r="22" spans="1:4" x14ac:dyDescent="0.2">
      <c r="A22" t="s">
        <v>50</v>
      </c>
      <c r="B22">
        <v>1</v>
      </c>
      <c r="C22"/>
      <c r="D22"/>
    </row>
    <row r="23" spans="1:4" x14ac:dyDescent="0.2">
      <c r="A23" t="s">
        <v>35</v>
      </c>
      <c r="B23" t="s">
        <v>18</v>
      </c>
      <c r="C23"/>
      <c r="D23"/>
    </row>
    <row r="24" spans="1:4" x14ac:dyDescent="0.2">
      <c r="A24" t="s">
        <v>67</v>
      </c>
      <c r="B24" t="s">
        <v>18</v>
      </c>
      <c r="C24"/>
      <c r="D24"/>
    </row>
    <row r="25" spans="1:4" x14ac:dyDescent="0.2">
      <c r="A25" t="s">
        <v>59</v>
      </c>
      <c r="B25" t="s">
        <v>18</v>
      </c>
      <c r="C25"/>
      <c r="D25"/>
    </row>
    <row r="26" spans="1:4" x14ac:dyDescent="0.2">
      <c r="A26" t="s">
        <v>80</v>
      </c>
      <c r="B26">
        <v>2</v>
      </c>
      <c r="C26"/>
      <c r="D26"/>
    </row>
    <row r="27" spans="1:4" x14ac:dyDescent="0.2">
      <c r="A27" t="s">
        <v>33</v>
      </c>
      <c r="B27" t="s">
        <v>18</v>
      </c>
      <c r="C27"/>
      <c r="D27"/>
    </row>
    <row r="28" spans="1:4" x14ac:dyDescent="0.2">
      <c r="A28" t="s">
        <v>57</v>
      </c>
      <c r="B28" t="s">
        <v>18</v>
      </c>
      <c r="C28"/>
      <c r="D28"/>
    </row>
    <row r="29" spans="1:4" x14ac:dyDescent="0.2">
      <c r="A29" t="s">
        <v>70</v>
      </c>
      <c r="B29" t="s">
        <v>18</v>
      </c>
      <c r="C29"/>
      <c r="D29"/>
    </row>
    <row r="30" spans="1:4" x14ac:dyDescent="0.2">
      <c r="A30" t="s">
        <v>61</v>
      </c>
      <c r="B30" t="s">
        <v>18</v>
      </c>
      <c r="C30"/>
      <c r="D30"/>
    </row>
    <row r="31" spans="1:4" x14ac:dyDescent="0.2">
      <c r="A31" t="s">
        <v>77</v>
      </c>
      <c r="B31" t="s">
        <v>18</v>
      </c>
      <c r="C31"/>
      <c r="D31"/>
    </row>
    <row r="32" spans="1:4" x14ac:dyDescent="0.2">
      <c r="A32" t="s">
        <v>82</v>
      </c>
      <c r="B32" t="s">
        <v>82</v>
      </c>
      <c r="C32"/>
      <c r="D32"/>
    </row>
    <row r="33" spans="1:4" x14ac:dyDescent="0.2">
      <c r="A33" t="s">
        <v>87</v>
      </c>
      <c r="B33" t="s">
        <v>18</v>
      </c>
      <c r="C33"/>
      <c r="D33"/>
    </row>
    <row r="34" spans="1:4" x14ac:dyDescent="0.2">
      <c r="A34" t="s">
        <v>108</v>
      </c>
      <c r="B34" t="s">
        <v>18</v>
      </c>
      <c r="D34"/>
    </row>
    <row r="35" spans="1:4" x14ac:dyDescent="0.2">
      <c r="B35" t="s">
        <v>82</v>
      </c>
      <c r="D35"/>
    </row>
    <row r="36" spans="1:4" x14ac:dyDescent="0.2">
      <c r="A36" t="s">
        <v>119</v>
      </c>
      <c r="B36" t="s">
        <v>18</v>
      </c>
      <c r="D36"/>
    </row>
    <row r="37" spans="1:4" x14ac:dyDescent="0.2">
      <c r="A37" t="s">
        <v>120</v>
      </c>
      <c r="B37" t="s">
        <v>18</v>
      </c>
      <c r="D37"/>
    </row>
    <row r="38" spans="1:4" x14ac:dyDescent="0.2">
      <c r="A38" t="s">
        <v>144</v>
      </c>
      <c r="B38" t="s">
        <v>18</v>
      </c>
      <c r="D38"/>
    </row>
    <row r="39" spans="1:4" x14ac:dyDescent="0.2">
      <c r="A39" t="s">
        <v>145</v>
      </c>
      <c r="B39" t="s">
        <v>18</v>
      </c>
      <c r="D39"/>
    </row>
    <row r="40" spans="1:4" x14ac:dyDescent="0.2">
      <c r="A40" t="s">
        <v>146</v>
      </c>
      <c r="B40" t="s">
        <v>18</v>
      </c>
      <c r="D40"/>
    </row>
    <row r="41" spans="1:4" x14ac:dyDescent="0.2">
      <c r="A41" t="s">
        <v>147</v>
      </c>
      <c r="B41" t="s">
        <v>18</v>
      </c>
      <c r="D41"/>
    </row>
    <row r="42" spans="1:4" x14ac:dyDescent="0.2">
      <c r="A42" t="s">
        <v>148</v>
      </c>
      <c r="B42" t="s">
        <v>18</v>
      </c>
      <c r="D42"/>
    </row>
    <row r="43" spans="1:4" x14ac:dyDescent="0.2">
      <c r="A43" t="s">
        <v>149</v>
      </c>
      <c r="B43" t="s">
        <v>18</v>
      </c>
      <c r="D43"/>
    </row>
    <row r="44" spans="1:4" x14ac:dyDescent="0.2">
      <c r="A44" t="s">
        <v>150</v>
      </c>
      <c r="B44" t="s">
        <v>18</v>
      </c>
      <c r="D44"/>
    </row>
    <row r="45" spans="1:4" x14ac:dyDescent="0.2">
      <c r="D45"/>
    </row>
    <row r="46" spans="1:4" x14ac:dyDescent="0.2">
      <c r="D46"/>
    </row>
    <row r="47" spans="1:4" x14ac:dyDescent="0.2">
      <c r="D47"/>
    </row>
    <row r="48" spans="1:4" x14ac:dyDescent="0.2">
      <c r="D48"/>
    </row>
    <row r="49" spans="4:4" x14ac:dyDescent="0.2">
      <c r="D49"/>
    </row>
    <row r="50" spans="4:4" x14ac:dyDescent="0.2">
      <c r="D50"/>
    </row>
    <row r="51" spans="4:4" x14ac:dyDescent="0.2">
      <c r="D51"/>
    </row>
    <row r="52" spans="4:4" x14ac:dyDescent="0.2">
      <c r="D52"/>
    </row>
    <row r="53" spans="4:4" x14ac:dyDescent="0.2">
      <c r="D53"/>
    </row>
    <row r="54" spans="4:4" x14ac:dyDescent="0.2">
      <c r="D54"/>
    </row>
    <row r="55" spans="4:4" x14ac:dyDescent="0.2">
      <c r="D55"/>
    </row>
    <row r="56" spans="4:4" x14ac:dyDescent="0.2">
      <c r="D56"/>
    </row>
    <row r="57" spans="4:4" x14ac:dyDescent="0.2">
      <c r="D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MasterData</vt:lpstr>
      <vt:lpstr>Elegibility Helper</vt:lpstr>
      <vt:lpstr>Master ID</vt:lpstr>
      <vt:lpstr>Queue</vt:lpstr>
      <vt:lpstr>Baseline Screening</vt:lpstr>
      <vt:lpstr>Ineligible</vt:lpstr>
      <vt:lpstr>Scheduled</vt:lpstr>
      <vt:lpstr>Follow-Up</vt:lpstr>
      <vt:lpstr>SONA</vt:lpstr>
      <vt:lpstr>Template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Begonia Herbert</dc:creator>
  <cp:lastModifiedBy>Herbert-Ramirez, Begonia B</cp:lastModifiedBy>
  <dcterms:created xsi:type="dcterms:W3CDTF">2019-07-27T17:22:18Z</dcterms:created>
  <dcterms:modified xsi:type="dcterms:W3CDTF">2019-08-05T12:43:43Z</dcterms:modified>
</cp:coreProperties>
</file>